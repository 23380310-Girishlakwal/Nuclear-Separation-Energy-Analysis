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xr:revisionPtr revIDLastSave="0" documentId="13_ncr:1_{6FA15C87-FC8A-4C14-B341-DE32836F9951}" xr6:coauthVersionLast="36" xr6:coauthVersionMax="36" xr10:uidLastSave="{00000000-0000-0000-0000-000000000000}"/>
  <bookViews>
    <workbookView xWindow="0" yWindow="0" windowWidth="14380" windowHeight="3980" firstSheet="2" activeTab="8" xr2:uid="{9447FE0F-F8BC-4433-B46F-34ED07C68637}"/>
  </bookViews>
  <sheets>
    <sheet name="He " sheetId="1" r:id="rId1"/>
    <sheet name="o" sheetId="2" r:id="rId2"/>
    <sheet name=" ca" sheetId="3" r:id="rId3"/>
    <sheet name=" ni " sheetId="4" r:id="rId4"/>
    <sheet name=" sn" sheetId="5" r:id="rId5"/>
    <sheet name=" pb" sheetId="6" r:id="rId6"/>
    <sheet name="Q (Os)" sheetId="7" r:id="rId7"/>
    <sheet name="Q(Ir)" sheetId="8" r:id="rId8"/>
    <sheet name=" Q(Pt)" sheetId="9" r:id="rId9"/>
    <sheet name="Sheet1" sheetId="10" r:id="rId10"/>
    <sheet name="Sheet3" sheetId="12" r:id="rId11"/>
    <sheet name="Sheet2" sheetId="11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7" l="1"/>
  <c r="E2" i="7"/>
  <c r="K3" i="9" l="1"/>
  <c r="K4" i="9"/>
  <c r="K5" i="9"/>
  <c r="K6" i="9"/>
  <c r="K7" i="9"/>
  <c r="K8" i="9"/>
  <c r="K9" i="9"/>
  <c r="K10" i="9"/>
  <c r="K11" i="9"/>
  <c r="K12" i="9"/>
  <c r="K13" i="9"/>
  <c r="K14" i="9"/>
  <c r="K2" i="9"/>
  <c r="E3" i="9"/>
  <c r="E4" i="9"/>
  <c r="E5" i="9"/>
  <c r="E6" i="9"/>
  <c r="E7" i="9"/>
  <c r="E8" i="9"/>
  <c r="E9" i="9"/>
  <c r="E10" i="9"/>
  <c r="E11" i="9"/>
  <c r="E12" i="9"/>
  <c r="E13" i="9"/>
  <c r="E14" i="9"/>
  <c r="E2" i="9"/>
  <c r="G3" i="9"/>
  <c r="G4" i="9"/>
  <c r="G5" i="9"/>
  <c r="G6" i="9"/>
  <c r="G7" i="9"/>
  <c r="G8" i="9"/>
  <c r="G9" i="9"/>
  <c r="G10" i="9"/>
  <c r="G11" i="9"/>
  <c r="G12" i="9"/>
  <c r="G13" i="9"/>
  <c r="G14" i="9"/>
  <c r="G2" i="9"/>
  <c r="L2" i="8"/>
  <c r="L3" i="7"/>
  <c r="L3" i="8" l="1"/>
  <c r="L5" i="8"/>
  <c r="L6" i="8"/>
  <c r="L2" i="7"/>
  <c r="E3" i="8"/>
  <c r="E4" i="8"/>
  <c r="L4" i="8" s="1"/>
  <c r="E5" i="8"/>
  <c r="E6" i="8"/>
  <c r="E7" i="8"/>
  <c r="E8" i="8"/>
  <c r="L8" i="8" s="1"/>
  <c r="E2" i="8"/>
  <c r="G3" i="8"/>
  <c r="G4" i="8"/>
  <c r="G5" i="8"/>
  <c r="G6" i="8"/>
  <c r="G7" i="8"/>
  <c r="L7" i="8" s="1"/>
  <c r="G8" i="8"/>
  <c r="G2" i="8"/>
  <c r="I4" i="8"/>
  <c r="I5" i="8"/>
  <c r="I6" i="8"/>
  <c r="I7" i="8"/>
  <c r="I8" i="8"/>
  <c r="I3" i="8"/>
  <c r="A8" i="8"/>
  <c r="A7" i="8"/>
  <c r="A6" i="8"/>
  <c r="A5" i="8"/>
  <c r="A4" i="8"/>
  <c r="A3" i="8"/>
  <c r="L4" i="7"/>
  <c r="L5" i="7"/>
  <c r="G3" i="7"/>
  <c r="G4" i="7"/>
  <c r="G5" i="7"/>
  <c r="E4" i="7"/>
  <c r="E5" i="7"/>
  <c r="E3" i="7"/>
  <c r="R15" i="5" l="1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H14" i="5" l="1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3" i="1"/>
  <c r="W2" i="1" l="1"/>
  <c r="AD2" i="3"/>
  <c r="Z3" i="5"/>
  <c r="Z4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Y3" i="6" l="1"/>
  <c r="Y4" i="6"/>
  <c r="Y5" i="6"/>
  <c r="Y6" i="6"/>
  <c r="Z6" i="6" s="1"/>
  <c r="Y7" i="6"/>
  <c r="Y8" i="6"/>
  <c r="Y9" i="6"/>
  <c r="Z9" i="6" s="1"/>
  <c r="Y10" i="6"/>
  <c r="Z10" i="6" s="1"/>
  <c r="Y11" i="6"/>
  <c r="Y12" i="6"/>
  <c r="Y13" i="6"/>
  <c r="Y14" i="6"/>
  <c r="Z14" i="6" s="1"/>
  <c r="Y15" i="6"/>
  <c r="Y16" i="6"/>
  <c r="Y17" i="6"/>
  <c r="Z17" i="6" s="1"/>
  <c r="Y18" i="6"/>
  <c r="Z18" i="6" s="1"/>
  <c r="Y19" i="6"/>
  <c r="Y20" i="6"/>
  <c r="Y21" i="6"/>
  <c r="Y22" i="6"/>
  <c r="Z22" i="6" s="1"/>
  <c r="Y23" i="6"/>
  <c r="Y24" i="6"/>
  <c r="Y25" i="6"/>
  <c r="Z25" i="6" s="1"/>
  <c r="Y26" i="6"/>
  <c r="Z26" i="6" s="1"/>
  <c r="Y27" i="6"/>
  <c r="Y28" i="6"/>
  <c r="Y29" i="6"/>
  <c r="Y30" i="6"/>
  <c r="Z30" i="6" s="1"/>
  <c r="Y31" i="6"/>
  <c r="Y32" i="6"/>
  <c r="Y33" i="6"/>
  <c r="Z33" i="6" s="1"/>
  <c r="Y34" i="6"/>
  <c r="Z34" i="6" s="1"/>
  <c r="Y35" i="6"/>
  <c r="Y36" i="6"/>
  <c r="Y37" i="6"/>
  <c r="Y38" i="6"/>
  <c r="Z38" i="6" s="1"/>
  <c r="Y39" i="6"/>
  <c r="Y40" i="6"/>
  <c r="Y41" i="6"/>
  <c r="Z41" i="6" s="1"/>
  <c r="Y42" i="6"/>
  <c r="Z42" i="6" s="1"/>
  <c r="Y43" i="6"/>
  <c r="X2" i="6"/>
  <c r="Z2" i="6"/>
  <c r="AM10" i="6"/>
  <c r="AM18" i="6"/>
  <c r="AM26" i="6"/>
  <c r="AM34" i="6"/>
  <c r="AM42" i="6"/>
  <c r="AJ3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M16" i="6" s="1"/>
  <c r="AJ17" i="6"/>
  <c r="AM17" i="6" s="1"/>
  <c r="AJ18" i="6"/>
  <c r="AJ19" i="6"/>
  <c r="AJ20" i="6"/>
  <c r="AJ21" i="6"/>
  <c r="AJ22" i="6"/>
  <c r="AJ23" i="6"/>
  <c r="AJ24" i="6"/>
  <c r="AM24" i="6" s="1"/>
  <c r="AJ25" i="6"/>
  <c r="AM25" i="6" s="1"/>
  <c r="AJ26" i="6"/>
  <c r="AJ27" i="6"/>
  <c r="AJ28" i="6"/>
  <c r="AJ29" i="6"/>
  <c r="AJ30" i="6"/>
  <c r="AJ31" i="6"/>
  <c r="AJ32" i="6"/>
  <c r="AM32" i="6" s="1"/>
  <c r="AJ33" i="6"/>
  <c r="AM33" i="6" s="1"/>
  <c r="AJ34" i="6"/>
  <c r="AJ35" i="6"/>
  <c r="AJ36" i="6"/>
  <c r="AJ37" i="6"/>
  <c r="AJ38" i="6"/>
  <c r="AJ39" i="6"/>
  <c r="AJ40" i="6"/>
  <c r="AM40" i="6" s="1"/>
  <c r="AJ41" i="6"/>
  <c r="AM41" i="6" s="1"/>
  <c r="AJ42" i="6"/>
  <c r="AJ43" i="6"/>
  <c r="AJ2" i="6"/>
  <c r="AI3" i="6"/>
  <c r="AM3" i="6" s="1"/>
  <c r="AI4" i="6"/>
  <c r="AM4" i="6" s="1"/>
  <c r="AI5" i="6"/>
  <c r="AM5" i="6" s="1"/>
  <c r="AI6" i="6"/>
  <c r="AM6" i="6" s="1"/>
  <c r="AI7" i="6"/>
  <c r="AM7" i="6" s="1"/>
  <c r="AI8" i="6"/>
  <c r="AM8" i="6" s="1"/>
  <c r="AI9" i="6"/>
  <c r="AM9" i="6" s="1"/>
  <c r="AI10" i="6"/>
  <c r="AI11" i="6"/>
  <c r="AM11" i="6" s="1"/>
  <c r="AI12" i="6"/>
  <c r="AM12" i="6" s="1"/>
  <c r="AI13" i="6"/>
  <c r="AM13" i="6" s="1"/>
  <c r="AI14" i="6"/>
  <c r="AM14" i="6" s="1"/>
  <c r="AI15" i="6"/>
  <c r="AM15" i="6" s="1"/>
  <c r="AI16" i="6"/>
  <c r="AI17" i="6"/>
  <c r="AI18" i="6"/>
  <c r="AI19" i="6"/>
  <c r="AM19" i="6" s="1"/>
  <c r="AI20" i="6"/>
  <c r="AM20" i="6" s="1"/>
  <c r="AI21" i="6"/>
  <c r="AM21" i="6" s="1"/>
  <c r="AI22" i="6"/>
  <c r="AM22" i="6" s="1"/>
  <c r="AI23" i="6"/>
  <c r="AM23" i="6" s="1"/>
  <c r="AI24" i="6"/>
  <c r="AI25" i="6"/>
  <c r="AI26" i="6"/>
  <c r="AI27" i="6"/>
  <c r="AM27" i="6" s="1"/>
  <c r="AI28" i="6"/>
  <c r="AM28" i="6" s="1"/>
  <c r="AI29" i="6"/>
  <c r="AM29" i="6" s="1"/>
  <c r="AI30" i="6"/>
  <c r="AM30" i="6" s="1"/>
  <c r="AI31" i="6"/>
  <c r="AM31" i="6" s="1"/>
  <c r="AI32" i="6"/>
  <c r="AI33" i="6"/>
  <c r="AI34" i="6"/>
  <c r="AI35" i="6"/>
  <c r="AM35" i="6" s="1"/>
  <c r="AI36" i="6"/>
  <c r="AM36" i="6" s="1"/>
  <c r="AI37" i="6"/>
  <c r="AM37" i="6" s="1"/>
  <c r="AI38" i="6"/>
  <c r="AM38" i="6" s="1"/>
  <c r="AI39" i="6"/>
  <c r="AM39" i="6" s="1"/>
  <c r="AI40" i="6"/>
  <c r="AI41" i="6"/>
  <c r="AI42" i="6"/>
  <c r="AI43" i="6"/>
  <c r="AM43" i="6" s="1"/>
  <c r="AI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3" i="6"/>
  <c r="Z3" i="6"/>
  <c r="Z4" i="6"/>
  <c r="Z5" i="6"/>
  <c r="Z7" i="6"/>
  <c r="Z8" i="6"/>
  <c r="Z11" i="6"/>
  <c r="Z12" i="6"/>
  <c r="Z13" i="6"/>
  <c r="Z15" i="6"/>
  <c r="Z16" i="6"/>
  <c r="Z19" i="6"/>
  <c r="Z20" i="6"/>
  <c r="Z21" i="6"/>
  <c r="Z23" i="6"/>
  <c r="Z24" i="6"/>
  <c r="Z27" i="6"/>
  <c r="Z28" i="6"/>
  <c r="Z29" i="6"/>
  <c r="Z31" i="6"/>
  <c r="Z32" i="6"/>
  <c r="Z35" i="6"/>
  <c r="Z36" i="6"/>
  <c r="Z37" i="6"/>
  <c r="Z39" i="6"/>
  <c r="Z40" i="6"/>
  <c r="Z43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AG4" i="5"/>
  <c r="AG5" i="5"/>
  <c r="AG6" i="5"/>
  <c r="AG7" i="5"/>
  <c r="AG8" i="5"/>
  <c r="AG9" i="5"/>
  <c r="AG10" i="5"/>
  <c r="AG11" i="5"/>
  <c r="AJ11" i="5" s="1"/>
  <c r="AM11" i="5" s="1"/>
  <c r="AG12" i="5"/>
  <c r="AG13" i="5"/>
  <c r="AG14" i="5"/>
  <c r="AG15" i="5"/>
  <c r="AG16" i="5"/>
  <c r="AG17" i="5"/>
  <c r="AG18" i="5"/>
  <c r="AG19" i="5"/>
  <c r="AJ19" i="5" s="1"/>
  <c r="AM19" i="5" s="1"/>
  <c r="AG20" i="5"/>
  <c r="AG21" i="5"/>
  <c r="AG22" i="5"/>
  <c r="AG23" i="5"/>
  <c r="AG25" i="5"/>
  <c r="AG26" i="5"/>
  <c r="AG27" i="5"/>
  <c r="AJ27" i="5" s="1"/>
  <c r="AM27" i="5" s="1"/>
  <c r="AG28" i="5"/>
  <c r="AG29" i="5"/>
  <c r="AG30" i="5"/>
  <c r="AG31" i="5"/>
  <c r="AG32" i="5"/>
  <c r="AG33" i="5"/>
  <c r="AG34" i="5"/>
  <c r="AG35" i="5"/>
  <c r="AJ35" i="5" s="1"/>
  <c r="AM35" i="5" s="1"/>
  <c r="AG36" i="5"/>
  <c r="AG37" i="5"/>
  <c r="AG38" i="5"/>
  <c r="AG39" i="5"/>
  <c r="AG40" i="5"/>
  <c r="AG41" i="5"/>
  <c r="AM3" i="5"/>
  <c r="AM15" i="5"/>
  <c r="AM16" i="5"/>
  <c r="AM18" i="5"/>
  <c r="AM2" i="5"/>
  <c r="AJ3" i="5"/>
  <c r="AJ4" i="5"/>
  <c r="AM4" i="5" s="1"/>
  <c r="AJ5" i="5"/>
  <c r="AM5" i="5" s="1"/>
  <c r="AJ6" i="5"/>
  <c r="AM6" i="5" s="1"/>
  <c r="AJ7" i="5"/>
  <c r="AM7" i="5" s="1"/>
  <c r="AJ8" i="5"/>
  <c r="AM8" i="5" s="1"/>
  <c r="AJ9" i="5"/>
  <c r="AM9" i="5" s="1"/>
  <c r="AJ10" i="5"/>
  <c r="AM10" i="5" s="1"/>
  <c r="AJ12" i="5"/>
  <c r="AM12" i="5" s="1"/>
  <c r="AJ13" i="5"/>
  <c r="AM13" i="5" s="1"/>
  <c r="AJ14" i="5"/>
  <c r="AM14" i="5" s="1"/>
  <c r="AJ15" i="5"/>
  <c r="AJ16" i="5"/>
  <c r="AJ17" i="5"/>
  <c r="AM17" i="5" s="1"/>
  <c r="AJ18" i="5"/>
  <c r="AJ20" i="5"/>
  <c r="AM20" i="5" s="1"/>
  <c r="AJ21" i="5"/>
  <c r="AM21" i="5" s="1"/>
  <c r="AJ22" i="5"/>
  <c r="AM22" i="5" s="1"/>
  <c r="AJ23" i="5"/>
  <c r="AM23" i="5" s="1"/>
  <c r="AJ24" i="5"/>
  <c r="AM24" i="5" s="1"/>
  <c r="AJ25" i="5"/>
  <c r="AM25" i="5" s="1"/>
  <c r="AJ26" i="5"/>
  <c r="AM26" i="5" s="1"/>
  <c r="AJ28" i="5"/>
  <c r="AM28" i="5" s="1"/>
  <c r="AJ29" i="5"/>
  <c r="AM29" i="5" s="1"/>
  <c r="AJ30" i="5"/>
  <c r="AM30" i="5" s="1"/>
  <c r="AJ31" i="5"/>
  <c r="AM31" i="5" s="1"/>
  <c r="AJ32" i="5"/>
  <c r="AM32" i="5" s="1"/>
  <c r="AJ33" i="5"/>
  <c r="AM33" i="5" s="1"/>
  <c r="AJ34" i="5"/>
  <c r="AM34" i="5" s="1"/>
  <c r="AJ36" i="5"/>
  <c r="AM36" i="5" s="1"/>
  <c r="AJ37" i="5"/>
  <c r="AM37" i="5" s="1"/>
  <c r="AJ38" i="5"/>
  <c r="AM38" i="5" s="1"/>
  <c r="AJ39" i="5"/>
  <c r="AM39" i="5" s="1"/>
  <c r="AJ40" i="5"/>
  <c r="AM40" i="5" s="1"/>
  <c r="AJ41" i="5"/>
  <c r="AM41" i="5" s="1"/>
  <c r="AJ2" i="5"/>
  <c r="AI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2" i="5"/>
  <c r="AG3" i="5"/>
  <c r="Z2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3" i="5"/>
  <c r="X3" i="5"/>
  <c r="X4" i="5"/>
  <c r="X5" i="5"/>
  <c r="Z5" i="5" s="1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2" i="5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2" i="4"/>
  <c r="W2" i="4"/>
  <c r="Y2" i="4" s="1"/>
  <c r="X3" i="4"/>
  <c r="X4" i="4"/>
  <c r="X5" i="4"/>
  <c r="X6" i="4"/>
  <c r="X7" i="4"/>
  <c r="X8" i="4"/>
  <c r="Y8" i="4" s="1"/>
  <c r="X9" i="4"/>
  <c r="X10" i="4"/>
  <c r="Y10" i="4" s="1"/>
  <c r="X11" i="4"/>
  <c r="X12" i="4"/>
  <c r="X13" i="4"/>
  <c r="X14" i="4"/>
  <c r="X15" i="4"/>
  <c r="X16" i="4"/>
  <c r="Y16" i="4" s="1"/>
  <c r="X17" i="4"/>
  <c r="X18" i="4"/>
  <c r="Y18" i="4" s="1"/>
  <c r="X19" i="4"/>
  <c r="X20" i="4"/>
  <c r="X21" i="4"/>
  <c r="X22" i="4"/>
  <c r="X23" i="4"/>
  <c r="X24" i="4"/>
  <c r="Y24" i="4" s="1"/>
  <c r="X25" i="4"/>
  <c r="X26" i="4"/>
  <c r="Y26" i="4" s="1"/>
  <c r="X27" i="4"/>
  <c r="X28" i="4"/>
  <c r="X29" i="4"/>
  <c r="X30" i="4"/>
  <c r="X31" i="4"/>
  <c r="X32" i="4"/>
  <c r="Y32" i="4" s="1"/>
  <c r="X33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2" i="4"/>
  <c r="AH3" i="4"/>
  <c r="AL3" i="4" s="1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2" i="4"/>
  <c r="Y3" i="4"/>
  <c r="Y4" i="4"/>
  <c r="Y5" i="4"/>
  <c r="Y6" i="4"/>
  <c r="Y7" i="4"/>
  <c r="Y9" i="4"/>
  <c r="Y11" i="4"/>
  <c r="Y12" i="4"/>
  <c r="Y13" i="4"/>
  <c r="Y14" i="4"/>
  <c r="Y15" i="4"/>
  <c r="Y17" i="4"/>
  <c r="Y19" i="4"/>
  <c r="Y20" i="4"/>
  <c r="Y21" i="4"/>
  <c r="Y22" i="4"/>
  <c r="Y23" i="4"/>
  <c r="Y25" i="4"/>
  <c r="Y27" i="4"/>
  <c r="Y28" i="4"/>
  <c r="Y29" i="4"/>
  <c r="Y30" i="4"/>
  <c r="Y31" i="4"/>
  <c r="Y33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R41" i="5"/>
  <c r="R42" i="5"/>
  <c r="O41" i="5"/>
  <c r="O42" i="5"/>
  <c r="N41" i="5"/>
  <c r="N42" i="5"/>
  <c r="H41" i="5"/>
  <c r="H42" i="5"/>
  <c r="G41" i="5"/>
  <c r="G42" i="5"/>
  <c r="D41" i="5"/>
  <c r="D42" i="5"/>
  <c r="M34" i="4"/>
  <c r="N35" i="4" s="1"/>
  <c r="M35" i="4"/>
  <c r="N36" i="4" s="1"/>
  <c r="Q36" i="4" s="1"/>
  <c r="M36" i="4"/>
  <c r="H34" i="4"/>
  <c r="H35" i="4"/>
  <c r="H36" i="4"/>
  <c r="G34" i="4"/>
  <c r="G35" i="4"/>
  <c r="G36" i="4"/>
  <c r="E34" i="4"/>
  <c r="E35" i="4"/>
  <c r="E36" i="4"/>
  <c r="D34" i="4"/>
  <c r="D35" i="4"/>
  <c r="D36" i="4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2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2" i="3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2" i="2"/>
  <c r="AH2" i="1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2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3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2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AH3" i="1"/>
  <c r="AH4" i="1"/>
  <c r="AH5" i="1"/>
  <c r="AH6" i="1"/>
  <c r="AH7" i="1"/>
  <c r="AG3" i="1"/>
  <c r="AG4" i="1"/>
  <c r="AG5" i="1"/>
  <c r="AG6" i="1"/>
  <c r="AG7" i="1"/>
  <c r="AG2" i="1"/>
  <c r="AF3" i="1"/>
  <c r="AF4" i="1"/>
  <c r="AF5" i="1"/>
  <c r="AF6" i="1"/>
  <c r="AF7" i="1"/>
  <c r="AF2" i="1"/>
  <c r="W3" i="1"/>
  <c r="W4" i="1"/>
  <c r="W5" i="1"/>
  <c r="W6" i="1"/>
  <c r="W7" i="1"/>
  <c r="V4" i="1"/>
  <c r="V5" i="1"/>
  <c r="V6" i="1"/>
  <c r="V7" i="1"/>
  <c r="T6" i="1"/>
  <c r="T7" i="1"/>
  <c r="V3" i="1"/>
  <c r="V2" i="1"/>
  <c r="T3" i="1"/>
  <c r="T4" i="1"/>
  <c r="T5" i="1"/>
  <c r="T2" i="1"/>
  <c r="P8" i="1"/>
  <c r="P9" i="1"/>
  <c r="L9" i="1"/>
  <c r="L8" i="1"/>
  <c r="H8" i="1"/>
  <c r="H9" i="1"/>
  <c r="G8" i="1"/>
  <c r="G9" i="1"/>
  <c r="F8" i="1"/>
  <c r="F9" i="1"/>
  <c r="F7" i="1"/>
  <c r="C8" i="1"/>
  <c r="C9" i="1"/>
  <c r="Q3" i="3"/>
  <c r="P3" i="3"/>
  <c r="T3" i="3" s="1"/>
  <c r="P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G2" i="3"/>
  <c r="P26" i="3"/>
  <c r="Q27" i="3" s="1"/>
  <c r="P27" i="3"/>
  <c r="Q28" i="3" s="1"/>
  <c r="T28" i="3" s="1"/>
  <c r="P28" i="3"/>
  <c r="Q29" i="3" s="1"/>
  <c r="P29" i="3"/>
  <c r="G26" i="3"/>
  <c r="G27" i="3"/>
  <c r="G28" i="3"/>
  <c r="G29" i="3"/>
  <c r="F26" i="3"/>
  <c r="F27" i="3"/>
  <c r="F28" i="3"/>
  <c r="F29" i="3"/>
  <c r="C29" i="3"/>
  <c r="C28" i="3"/>
  <c r="C27" i="3"/>
  <c r="C26" i="3"/>
  <c r="S16" i="2"/>
  <c r="S17" i="2"/>
  <c r="S18" i="2"/>
  <c r="P16" i="2"/>
  <c r="P17" i="2"/>
  <c r="P18" i="2"/>
  <c r="O16" i="2"/>
  <c r="O17" i="2"/>
  <c r="O18" i="2"/>
  <c r="H16" i="2"/>
  <c r="H17" i="2"/>
  <c r="H18" i="2"/>
  <c r="G16" i="2"/>
  <c r="G17" i="2"/>
  <c r="G18" i="2"/>
  <c r="F16" i="2"/>
  <c r="F17" i="2"/>
  <c r="F18" i="2"/>
  <c r="AM2" i="6" l="1"/>
  <c r="Q35" i="4"/>
  <c r="T29" i="3"/>
  <c r="T27" i="3"/>
  <c r="Q3" i="4"/>
  <c r="M8" i="4"/>
  <c r="G25" i="4" l="1"/>
  <c r="G24" i="4"/>
  <c r="H24" i="4" s="1"/>
  <c r="N23" i="6"/>
  <c r="Q23" i="6" s="1"/>
  <c r="N31" i="6"/>
  <c r="Q31" i="6" s="1"/>
  <c r="N39" i="6"/>
  <c r="Q39" i="6" s="1"/>
  <c r="M3" i="6"/>
  <c r="N4" i="6" s="1"/>
  <c r="M4" i="6"/>
  <c r="N5" i="6" s="1"/>
  <c r="M5" i="6"/>
  <c r="N6" i="6" s="1"/>
  <c r="Q6" i="6" s="1"/>
  <c r="M6" i="6"/>
  <c r="N7" i="6" s="1"/>
  <c r="Q7" i="6" s="1"/>
  <c r="M7" i="6"/>
  <c r="N8" i="6" s="1"/>
  <c r="M8" i="6"/>
  <c r="N9" i="6" s="1"/>
  <c r="Q9" i="6" s="1"/>
  <c r="M9" i="6"/>
  <c r="N10" i="6" s="1"/>
  <c r="M10" i="6"/>
  <c r="N11" i="6" s="1"/>
  <c r="Q11" i="6" s="1"/>
  <c r="M11" i="6"/>
  <c r="N12" i="6" s="1"/>
  <c r="M12" i="6"/>
  <c r="N13" i="6" s="1"/>
  <c r="M13" i="6"/>
  <c r="N14" i="6" s="1"/>
  <c r="Q14" i="6" s="1"/>
  <c r="M14" i="6"/>
  <c r="N15" i="6" s="1"/>
  <c r="Q15" i="6" s="1"/>
  <c r="M15" i="6"/>
  <c r="N16" i="6" s="1"/>
  <c r="M16" i="6"/>
  <c r="N17" i="6" s="1"/>
  <c r="Q17" i="6" s="1"/>
  <c r="M17" i="6"/>
  <c r="N18" i="6" s="1"/>
  <c r="M18" i="6"/>
  <c r="N19" i="6" s="1"/>
  <c r="Q19" i="6" s="1"/>
  <c r="M19" i="6"/>
  <c r="N20" i="6" s="1"/>
  <c r="M20" i="6"/>
  <c r="N21" i="6" s="1"/>
  <c r="M21" i="6"/>
  <c r="N22" i="6" s="1"/>
  <c r="Q22" i="6" s="1"/>
  <c r="M22" i="6"/>
  <c r="M23" i="6"/>
  <c r="N24" i="6" s="1"/>
  <c r="M24" i="6"/>
  <c r="N25" i="6" s="1"/>
  <c r="Q25" i="6" s="1"/>
  <c r="M25" i="6"/>
  <c r="N26" i="6" s="1"/>
  <c r="M26" i="6"/>
  <c r="N27" i="6" s="1"/>
  <c r="Q27" i="6" s="1"/>
  <c r="M27" i="6"/>
  <c r="N28" i="6" s="1"/>
  <c r="M28" i="6"/>
  <c r="N29" i="6" s="1"/>
  <c r="M29" i="6"/>
  <c r="N30" i="6" s="1"/>
  <c r="Q30" i="6" s="1"/>
  <c r="M30" i="6"/>
  <c r="M31" i="6"/>
  <c r="N32" i="6" s="1"/>
  <c r="M32" i="6"/>
  <c r="N33" i="6" s="1"/>
  <c r="Q33" i="6" s="1"/>
  <c r="M33" i="6"/>
  <c r="N34" i="6" s="1"/>
  <c r="M34" i="6"/>
  <c r="N35" i="6" s="1"/>
  <c r="Q35" i="6" s="1"/>
  <c r="M35" i="6"/>
  <c r="N36" i="6" s="1"/>
  <c r="M36" i="6"/>
  <c r="N37" i="6" s="1"/>
  <c r="M37" i="6"/>
  <c r="N38" i="6" s="1"/>
  <c r="Q38" i="6" s="1"/>
  <c r="M38" i="6"/>
  <c r="M39" i="6"/>
  <c r="N40" i="6" s="1"/>
  <c r="M40" i="6"/>
  <c r="N41" i="6" s="1"/>
  <c r="Q41" i="6" s="1"/>
  <c r="M41" i="6"/>
  <c r="N42" i="6" s="1"/>
  <c r="M42" i="6"/>
  <c r="N43" i="6" s="1"/>
  <c r="Q43" i="6" s="1"/>
  <c r="M43" i="6"/>
  <c r="M2" i="6"/>
  <c r="Q2" i="6" s="1"/>
  <c r="R3" i="5"/>
  <c r="R4" i="5"/>
  <c r="R5" i="5"/>
  <c r="R6" i="5"/>
  <c r="R7" i="5"/>
  <c r="R8" i="5"/>
  <c r="R9" i="5"/>
  <c r="R10" i="5"/>
  <c r="R11" i="5"/>
  <c r="R12" i="5"/>
  <c r="R13" i="5"/>
  <c r="R14" i="5"/>
  <c r="R2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21" i="5"/>
  <c r="O23" i="5"/>
  <c r="O24" i="5"/>
  <c r="O3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O19" i="5" s="1"/>
  <c r="N19" i="5"/>
  <c r="O20" i="5" s="1"/>
  <c r="N20" i="5"/>
  <c r="N21" i="5"/>
  <c r="O22" i="5" s="1"/>
  <c r="N22" i="5"/>
  <c r="N23" i="5"/>
  <c r="N24" i="5"/>
  <c r="O25" i="5" s="1"/>
  <c r="N25" i="5"/>
  <c r="N26" i="5"/>
  <c r="O27" i="5" s="1"/>
  <c r="N27" i="5"/>
  <c r="O28" i="5" s="1"/>
  <c r="N28" i="5"/>
  <c r="O29" i="5" s="1"/>
  <c r="N29" i="5"/>
  <c r="O30" i="5" s="1"/>
  <c r="N30" i="5"/>
  <c r="O31" i="5" s="1"/>
  <c r="N31" i="5"/>
  <c r="O32" i="5" s="1"/>
  <c r="N32" i="5"/>
  <c r="O33" i="5" s="1"/>
  <c r="N33" i="5"/>
  <c r="O34" i="5" s="1"/>
  <c r="N34" i="5"/>
  <c r="O35" i="5" s="1"/>
  <c r="N35" i="5"/>
  <c r="O36" i="5" s="1"/>
  <c r="N36" i="5"/>
  <c r="O37" i="5" s="1"/>
  <c r="N37" i="5"/>
  <c r="O38" i="5" s="1"/>
  <c r="N38" i="5"/>
  <c r="O39" i="5" s="1"/>
  <c r="N39" i="5"/>
  <c r="O40" i="5" s="1"/>
  <c r="N40" i="5"/>
  <c r="N2" i="5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O2" i="2"/>
  <c r="G2" i="2"/>
  <c r="D23" i="4"/>
  <c r="H23" i="4" s="1"/>
  <c r="N8" i="4"/>
  <c r="Q8" i="4" s="1"/>
  <c r="N9" i="4"/>
  <c r="N25" i="4"/>
  <c r="Q25" i="4" s="1"/>
  <c r="M4" i="4"/>
  <c r="Q4" i="4" s="1"/>
  <c r="M5" i="4"/>
  <c r="N6" i="4" s="1"/>
  <c r="Q6" i="4" s="1"/>
  <c r="M6" i="4"/>
  <c r="N7" i="4" s="1"/>
  <c r="M7" i="4"/>
  <c r="M9" i="4"/>
  <c r="N10" i="4" s="1"/>
  <c r="Q10" i="4" s="1"/>
  <c r="M10" i="4"/>
  <c r="N11" i="4" s="1"/>
  <c r="Q11" i="4" s="1"/>
  <c r="M11" i="4"/>
  <c r="N12" i="4" s="1"/>
  <c r="M12" i="4"/>
  <c r="N13" i="4" s="1"/>
  <c r="M13" i="4"/>
  <c r="N14" i="4" s="1"/>
  <c r="Q14" i="4" s="1"/>
  <c r="M14" i="4"/>
  <c r="N15" i="4" s="1"/>
  <c r="Q15" i="4" s="1"/>
  <c r="M15" i="4"/>
  <c r="N16" i="4" s="1"/>
  <c r="M16" i="4"/>
  <c r="N17" i="4" s="1"/>
  <c r="Q17" i="4" s="1"/>
  <c r="M17" i="4"/>
  <c r="N18" i="4" s="1"/>
  <c r="Q18" i="4" s="1"/>
  <c r="M18" i="4"/>
  <c r="N19" i="4" s="1"/>
  <c r="Q19" i="4" s="1"/>
  <c r="M19" i="4"/>
  <c r="N20" i="4" s="1"/>
  <c r="M20" i="4"/>
  <c r="N21" i="4" s="1"/>
  <c r="M21" i="4"/>
  <c r="N22" i="4" s="1"/>
  <c r="Q22" i="4" s="1"/>
  <c r="M22" i="4"/>
  <c r="N23" i="4" s="1"/>
  <c r="Q23" i="4" s="1"/>
  <c r="M23" i="4"/>
  <c r="N24" i="4" s="1"/>
  <c r="M24" i="4"/>
  <c r="M25" i="4"/>
  <c r="N26" i="4" s="1"/>
  <c r="Q26" i="4" s="1"/>
  <c r="M26" i="4"/>
  <c r="N27" i="4" s="1"/>
  <c r="Q27" i="4" s="1"/>
  <c r="M27" i="4"/>
  <c r="N28" i="4" s="1"/>
  <c r="M28" i="4"/>
  <c r="M29" i="4"/>
  <c r="N30" i="4" s="1"/>
  <c r="Q30" i="4" s="1"/>
  <c r="M30" i="4"/>
  <c r="M31" i="4"/>
  <c r="N32" i="4" s="1"/>
  <c r="M32" i="4"/>
  <c r="N33" i="4" s="1"/>
  <c r="Q33" i="4" s="1"/>
  <c r="M33" i="4"/>
  <c r="N34" i="4" s="1"/>
  <c r="Q34" i="4" s="1"/>
  <c r="M3" i="4"/>
  <c r="N4" i="4" s="1"/>
  <c r="P4" i="3"/>
  <c r="Q5" i="3" s="1"/>
  <c r="P5" i="3"/>
  <c r="Q6" i="3" s="1"/>
  <c r="P6" i="3"/>
  <c r="Q7" i="3" s="1"/>
  <c r="P7" i="3"/>
  <c r="Q8" i="3" s="1"/>
  <c r="P8" i="3"/>
  <c r="Q9" i="3" s="1"/>
  <c r="P9" i="3"/>
  <c r="Q10" i="3" s="1"/>
  <c r="P10" i="3"/>
  <c r="P11" i="3"/>
  <c r="Q12" i="3" s="1"/>
  <c r="P12" i="3"/>
  <c r="Q13" i="3" s="1"/>
  <c r="P13" i="3"/>
  <c r="Q14" i="3" s="1"/>
  <c r="P14" i="3"/>
  <c r="Q15" i="3" s="1"/>
  <c r="P15" i="3"/>
  <c r="Q16" i="3" s="1"/>
  <c r="P16" i="3"/>
  <c r="Q17" i="3" s="1"/>
  <c r="P17" i="3"/>
  <c r="P18" i="3"/>
  <c r="P19" i="3"/>
  <c r="Q20" i="3" s="1"/>
  <c r="P20" i="3"/>
  <c r="Q21" i="3" s="1"/>
  <c r="P21" i="3"/>
  <c r="Q22" i="3" s="1"/>
  <c r="P22" i="3"/>
  <c r="P23" i="3"/>
  <c r="P24" i="3"/>
  <c r="P25" i="3"/>
  <c r="Q26" i="3" s="1"/>
  <c r="T26" i="3" s="1"/>
  <c r="T2" i="3"/>
  <c r="P3" i="1"/>
  <c r="P4" i="2"/>
  <c r="P5" i="2"/>
  <c r="P6" i="2"/>
  <c r="P7" i="2"/>
  <c r="P8" i="2"/>
  <c r="P9" i="2"/>
  <c r="P10" i="2"/>
  <c r="P11" i="2"/>
  <c r="P12" i="2"/>
  <c r="P13" i="2"/>
  <c r="P14" i="2"/>
  <c r="P15" i="2"/>
  <c r="P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P4" i="1"/>
  <c r="P5" i="1"/>
  <c r="P6" i="1"/>
  <c r="P7" i="1"/>
  <c r="M4" i="1"/>
  <c r="M5" i="1"/>
  <c r="M6" i="1"/>
  <c r="M3" i="1"/>
  <c r="D43" i="6"/>
  <c r="F4" i="2"/>
  <c r="F5" i="2"/>
  <c r="F6" i="2"/>
  <c r="F7" i="2"/>
  <c r="F8" i="2"/>
  <c r="F9" i="2"/>
  <c r="F10" i="2"/>
  <c r="F11" i="2"/>
  <c r="F12" i="2"/>
  <c r="F13" i="2"/>
  <c r="F14" i="2"/>
  <c r="F15" i="2"/>
  <c r="F3" i="2"/>
  <c r="G3" i="2" s="1"/>
  <c r="D5" i="6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" i="4"/>
  <c r="D3" i="4"/>
  <c r="H3" i="4"/>
  <c r="G6" i="6"/>
  <c r="G28" i="6"/>
  <c r="H28" i="6" s="1"/>
  <c r="D3" i="6"/>
  <c r="G4" i="6" s="1"/>
  <c r="D4" i="6"/>
  <c r="D6" i="6"/>
  <c r="G7" i="6" s="1"/>
  <c r="D7" i="6"/>
  <c r="H7" i="6" s="1"/>
  <c r="D8" i="6"/>
  <c r="G9" i="6" s="1"/>
  <c r="D9" i="6"/>
  <c r="H9" i="6" s="1"/>
  <c r="D10" i="6"/>
  <c r="G11" i="6" s="1"/>
  <c r="D11" i="6"/>
  <c r="G12" i="6" s="1"/>
  <c r="H12" i="6" s="1"/>
  <c r="D12" i="6"/>
  <c r="G13" i="6" s="1"/>
  <c r="D13" i="6"/>
  <c r="D14" i="6"/>
  <c r="G15" i="6" s="1"/>
  <c r="D15" i="6"/>
  <c r="H15" i="6" s="1"/>
  <c r="D16" i="6"/>
  <c r="G17" i="6" s="1"/>
  <c r="D17" i="6"/>
  <c r="H17" i="6" s="1"/>
  <c r="D18" i="6"/>
  <c r="G19" i="6" s="1"/>
  <c r="D19" i="6"/>
  <c r="G20" i="6" s="1"/>
  <c r="H20" i="6" s="1"/>
  <c r="D20" i="6"/>
  <c r="G21" i="6" s="1"/>
  <c r="D21" i="6"/>
  <c r="D22" i="6"/>
  <c r="G23" i="6" s="1"/>
  <c r="D23" i="6"/>
  <c r="H23" i="6" s="1"/>
  <c r="D24" i="6"/>
  <c r="G25" i="6" s="1"/>
  <c r="D25" i="6"/>
  <c r="H25" i="6" s="1"/>
  <c r="D26" i="6"/>
  <c r="G27" i="6" s="1"/>
  <c r="D27" i="6"/>
  <c r="D28" i="6"/>
  <c r="G29" i="6" s="1"/>
  <c r="D29" i="6"/>
  <c r="D30" i="6"/>
  <c r="G31" i="6" s="1"/>
  <c r="D31" i="6"/>
  <c r="H31" i="6" s="1"/>
  <c r="D32" i="6"/>
  <c r="G33" i="6" s="1"/>
  <c r="D33" i="6"/>
  <c r="H33" i="6" s="1"/>
  <c r="D34" i="6"/>
  <c r="G35" i="6" s="1"/>
  <c r="D35" i="6"/>
  <c r="D36" i="6"/>
  <c r="G37" i="6" s="1"/>
  <c r="D37" i="6"/>
  <c r="D38" i="6"/>
  <c r="G39" i="6" s="1"/>
  <c r="D39" i="6"/>
  <c r="H39" i="6" s="1"/>
  <c r="D40" i="6"/>
  <c r="G41" i="6" s="1"/>
  <c r="D41" i="6"/>
  <c r="H41" i="6" s="1"/>
  <c r="D42" i="6"/>
  <c r="G43" i="6" s="1"/>
  <c r="H43" i="6" s="1"/>
  <c r="D2" i="6"/>
  <c r="H2" i="6" s="1"/>
  <c r="H3" i="5"/>
  <c r="H4" i="5"/>
  <c r="H5" i="5"/>
  <c r="H6" i="5"/>
  <c r="H7" i="5"/>
  <c r="H8" i="5"/>
  <c r="H9" i="5"/>
  <c r="H10" i="5"/>
  <c r="H11" i="5"/>
  <c r="H12" i="5"/>
  <c r="H13" i="5"/>
  <c r="H29" i="5"/>
  <c r="H30" i="5"/>
  <c r="H31" i="5"/>
  <c r="H32" i="5"/>
  <c r="H33" i="5"/>
  <c r="H34" i="5"/>
  <c r="H35" i="5"/>
  <c r="H36" i="5"/>
  <c r="H37" i="5"/>
  <c r="H38" i="5"/>
  <c r="H39" i="5"/>
  <c r="H40" i="5"/>
  <c r="H2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3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2" i="5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6" i="4"/>
  <c r="H27" i="4"/>
  <c r="H28" i="4"/>
  <c r="H31" i="4"/>
  <c r="H32" i="4"/>
  <c r="H33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6" i="4"/>
  <c r="G27" i="4"/>
  <c r="G28" i="4"/>
  <c r="G29" i="4"/>
  <c r="G31" i="4"/>
  <c r="G32" i="4"/>
  <c r="G33" i="4"/>
  <c r="G4" i="4"/>
  <c r="D13" i="4"/>
  <c r="D14" i="4"/>
  <c r="D15" i="4"/>
  <c r="D16" i="4"/>
  <c r="D17" i="4"/>
  <c r="D18" i="4"/>
  <c r="D19" i="4"/>
  <c r="D20" i="4"/>
  <c r="D21" i="4"/>
  <c r="D22" i="4"/>
  <c r="D24" i="4"/>
  <c r="D25" i="4"/>
  <c r="D26" i="4"/>
  <c r="D27" i="4"/>
  <c r="D28" i="4"/>
  <c r="D29" i="4"/>
  <c r="G30" i="4" s="1"/>
  <c r="H30" i="4" s="1"/>
  <c r="D30" i="4"/>
  <c r="D31" i="4"/>
  <c r="D32" i="4"/>
  <c r="D33" i="4"/>
  <c r="D4" i="4"/>
  <c r="D5" i="4"/>
  <c r="D6" i="4"/>
  <c r="D7" i="4"/>
  <c r="D8" i="4"/>
  <c r="D9" i="4"/>
  <c r="D10" i="4"/>
  <c r="D11" i="4"/>
  <c r="D12" i="4"/>
  <c r="H4" i="6" l="1"/>
  <c r="Q40" i="6"/>
  <c r="Q32" i="6"/>
  <c r="Q24" i="6"/>
  <c r="Q16" i="6"/>
  <c r="Q8" i="6"/>
  <c r="H35" i="6"/>
  <c r="H27" i="6"/>
  <c r="G36" i="6"/>
  <c r="H36" i="6" s="1"/>
  <c r="H6" i="6"/>
  <c r="Q37" i="6"/>
  <c r="Q29" i="6"/>
  <c r="Q21" i="6"/>
  <c r="Q13" i="6"/>
  <c r="Q5" i="6"/>
  <c r="Q36" i="6"/>
  <c r="Q28" i="6"/>
  <c r="Q20" i="6"/>
  <c r="Q12" i="6"/>
  <c r="Q4" i="6"/>
  <c r="Q42" i="6"/>
  <c r="Q34" i="6"/>
  <c r="Q26" i="6"/>
  <c r="Q18" i="6"/>
  <c r="Q10" i="6"/>
  <c r="H37" i="6"/>
  <c r="H29" i="6"/>
  <c r="H21" i="6"/>
  <c r="H13" i="6"/>
  <c r="G3" i="6"/>
  <c r="H3" i="6" s="1"/>
  <c r="H19" i="6"/>
  <c r="H11" i="6"/>
  <c r="G42" i="6"/>
  <c r="H42" i="6" s="1"/>
  <c r="G34" i="6"/>
  <c r="H34" i="6" s="1"/>
  <c r="G26" i="6"/>
  <c r="H26" i="6" s="1"/>
  <c r="G18" i="6"/>
  <c r="H18" i="6" s="1"/>
  <c r="G10" i="6"/>
  <c r="H10" i="6" s="1"/>
  <c r="N3" i="6"/>
  <c r="Q3" i="6" s="1"/>
  <c r="G40" i="6"/>
  <c r="H40" i="6" s="1"/>
  <c r="G32" i="6"/>
  <c r="H32" i="6" s="1"/>
  <c r="G24" i="6"/>
  <c r="H24" i="6" s="1"/>
  <c r="G16" i="6"/>
  <c r="H16" i="6" s="1"/>
  <c r="G8" i="6"/>
  <c r="H8" i="6" s="1"/>
  <c r="G38" i="6"/>
  <c r="H38" i="6" s="1"/>
  <c r="G30" i="6"/>
  <c r="H30" i="6" s="1"/>
  <c r="G22" i="6"/>
  <c r="H22" i="6" s="1"/>
  <c r="G14" i="6"/>
  <c r="H14" i="6" s="1"/>
  <c r="G5" i="6"/>
  <c r="H5" i="6" s="1"/>
  <c r="Q32" i="4"/>
  <c r="Q24" i="4"/>
  <c r="Q16" i="4"/>
  <c r="Q7" i="4"/>
  <c r="Q9" i="4"/>
  <c r="Q21" i="4"/>
  <c r="Q13" i="4"/>
  <c r="Q28" i="4"/>
  <c r="Q20" i="4"/>
  <c r="Q12" i="4"/>
  <c r="N5" i="4"/>
  <c r="Q5" i="4" s="1"/>
  <c r="T14" i="3"/>
  <c r="T12" i="3"/>
  <c r="T9" i="3"/>
  <c r="T8" i="3"/>
  <c r="T6" i="3"/>
  <c r="T5" i="3"/>
  <c r="T10" i="3"/>
  <c r="Q4" i="3"/>
  <c r="T4" i="3" s="1"/>
  <c r="T15" i="3"/>
  <c r="T7" i="3"/>
  <c r="T13" i="3"/>
  <c r="T22" i="3"/>
  <c r="T16" i="3"/>
  <c r="Q11" i="3"/>
  <c r="T11" i="3" s="1"/>
  <c r="T17" i="3"/>
  <c r="Q18" i="3"/>
  <c r="T18" i="3" s="1"/>
  <c r="Q19" i="3"/>
  <c r="T19" i="3" s="1"/>
  <c r="T20" i="3"/>
  <c r="T21" i="3"/>
  <c r="Q23" i="3"/>
  <c r="T23" i="3" s="1"/>
  <c r="Q24" i="3"/>
  <c r="T24" i="3" s="1"/>
  <c r="Q25" i="3"/>
  <c r="T25" i="3" s="1"/>
  <c r="H25" i="4"/>
  <c r="R30" i="5"/>
  <c r="R36" i="5"/>
  <c r="R34" i="5"/>
  <c r="R40" i="5"/>
  <c r="R32" i="5"/>
  <c r="R31" i="5"/>
  <c r="R35" i="5"/>
  <c r="R33" i="5"/>
  <c r="R39" i="5"/>
  <c r="R38" i="5"/>
  <c r="R37" i="5"/>
  <c r="O26" i="5"/>
  <c r="N31" i="4"/>
  <c r="Q31" i="4" s="1"/>
  <c r="N29" i="4"/>
  <c r="Q29" i="4" s="1"/>
  <c r="H29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" i="3"/>
  <c r="G4" i="2"/>
  <c r="G5" i="2"/>
  <c r="G6" i="2"/>
  <c r="G7" i="2"/>
  <c r="G8" i="2"/>
  <c r="G9" i="2"/>
  <c r="G10" i="2"/>
  <c r="G11" i="2"/>
  <c r="G12" i="2"/>
  <c r="G13" i="2"/>
  <c r="H13" i="2" s="1"/>
  <c r="G14" i="2"/>
  <c r="G15" i="2"/>
  <c r="C2" i="2"/>
  <c r="H5" i="1"/>
  <c r="H6" i="1"/>
  <c r="H4" i="1"/>
  <c r="C2" i="1"/>
  <c r="G4" i="1"/>
  <c r="G5" i="1"/>
  <c r="G6" i="1"/>
  <c r="G7" i="1"/>
  <c r="H7" i="1" s="1"/>
  <c r="C7" i="1"/>
  <c r="C5" i="1"/>
  <c r="C4" i="1"/>
  <c r="C3" i="1"/>
  <c r="C6" i="1"/>
  <c r="H2" i="2" l="1"/>
  <c r="H12" i="2"/>
  <c r="H4" i="2"/>
  <c r="H14" i="2"/>
  <c r="H11" i="2"/>
  <c r="H5" i="2"/>
  <c r="H6" i="2"/>
  <c r="H15" i="2"/>
  <c r="H10" i="2"/>
  <c r="H9" i="2"/>
  <c r="H8" i="2"/>
  <c r="H7" i="2"/>
  <c r="H3" i="2"/>
</calcChain>
</file>

<file path=xl/sharedStrings.xml><?xml version="1.0" encoding="utf-8"?>
<sst xmlns="http://schemas.openxmlformats.org/spreadsheetml/2006/main" count="251" uniqueCount="72">
  <si>
    <t xml:space="preserve"> </t>
  </si>
  <si>
    <t>A</t>
  </si>
  <si>
    <t>B/A(MeV)</t>
  </si>
  <si>
    <t>A*B/A(MeV)</t>
  </si>
  <si>
    <t>A(N-1)</t>
  </si>
  <si>
    <t>A(N-1)*B/A(MeV)</t>
  </si>
  <si>
    <t>Sn=[A*B/A(MeV)-A(N-1)*B/A(MeV)]</t>
  </si>
  <si>
    <r>
      <t>A*B/A(KeV</t>
    </r>
    <r>
      <rPr>
        <b/>
        <sz val="11"/>
        <color theme="1"/>
        <rFont val="Calibri"/>
        <family val="2"/>
        <scheme val="minor"/>
      </rPr>
      <t>)</t>
    </r>
  </si>
  <si>
    <t>B.E(Mev)</t>
  </si>
  <si>
    <t>A(n-1)</t>
  </si>
  <si>
    <t>B.E/A(Kev)</t>
  </si>
  <si>
    <t>sn(Mev)</t>
  </si>
  <si>
    <t>B.E(MeV)</t>
  </si>
  <si>
    <t>Sn</t>
  </si>
  <si>
    <t>Sn(MeV)</t>
  </si>
  <si>
    <t>B.E/A(KeV)</t>
  </si>
  <si>
    <t>N</t>
  </si>
  <si>
    <t>m(N-1)</t>
  </si>
  <si>
    <t>C^2</t>
  </si>
  <si>
    <t xml:space="preserve"> mn</t>
  </si>
  <si>
    <t xml:space="preserve"> M</t>
  </si>
  <si>
    <t>c^2</t>
  </si>
  <si>
    <t>M</t>
  </si>
  <si>
    <t>u</t>
  </si>
  <si>
    <t>m(u)</t>
  </si>
  <si>
    <t>M(N-1)</t>
  </si>
  <si>
    <t>Mn</t>
  </si>
  <si>
    <t>M(u)</t>
  </si>
  <si>
    <t xml:space="preserve"> m of 1N</t>
  </si>
  <si>
    <t xml:space="preserve"> u</t>
  </si>
  <si>
    <t>m of 1N</t>
  </si>
  <si>
    <t xml:space="preserve"> M(u)</t>
  </si>
  <si>
    <t xml:space="preserve">  </t>
  </si>
  <si>
    <t>B.E(A)</t>
  </si>
  <si>
    <t>B.E(Z-1)</t>
  </si>
  <si>
    <t>Sp</t>
  </si>
  <si>
    <t xml:space="preserve">B.E/A(Z-1) </t>
  </si>
  <si>
    <t>A(Z-1)</t>
  </si>
  <si>
    <t>M(1z of H)</t>
  </si>
  <si>
    <t>M(A)</t>
  </si>
  <si>
    <t>M(Z-1)</t>
  </si>
  <si>
    <t>M(Z-1)amu</t>
  </si>
  <si>
    <t>MeV</t>
  </si>
  <si>
    <t>B.E(A)Mev</t>
  </si>
  <si>
    <t>B.E/A(Z-1)Kev</t>
  </si>
  <si>
    <t>B.E(Z-1)MeV</t>
  </si>
  <si>
    <t>amu</t>
  </si>
  <si>
    <t>M of 1Z</t>
  </si>
  <si>
    <t>B.E/A(Z-1)</t>
  </si>
  <si>
    <t>B.E(Z-1)(MeV)</t>
  </si>
  <si>
    <t>M(A)amu</t>
  </si>
  <si>
    <t>Sp(MeV)</t>
  </si>
  <si>
    <t>B.E(A)MeV</t>
  </si>
  <si>
    <t>Q-Value</t>
  </si>
  <si>
    <t>Z(Proton)</t>
  </si>
  <si>
    <t>Element</t>
  </si>
  <si>
    <t>A(Mass No.)</t>
  </si>
  <si>
    <t>B(Z,A)(MeV)</t>
  </si>
  <si>
    <t>Os</t>
  </si>
  <si>
    <t>B/A(Z-2,A-4)(Kev)</t>
  </si>
  <si>
    <t>B/A(Z,A)(KeV)</t>
  </si>
  <si>
    <t>Z</t>
  </si>
  <si>
    <t>B(alpha)</t>
  </si>
  <si>
    <t>B(Z-2,A-4)(MeV)</t>
  </si>
  <si>
    <t>Z-2</t>
  </si>
  <si>
    <t>B(Alpha)</t>
  </si>
  <si>
    <t>Ir</t>
  </si>
  <si>
    <t>Mass No.(Z-2,A-4)(Re)</t>
  </si>
  <si>
    <t>Mass No.(Z-2,A-4)(W)</t>
  </si>
  <si>
    <t>Pt</t>
  </si>
  <si>
    <t>Mass No.(Z-2,A-4)(Os)</t>
  </si>
  <si>
    <t>B/A(Z-2,A-4)(Kev)(Os)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</si>
</sst>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4ECE-8151-4DF4-8D93-DDED90A90CAB}">
  <dimension ref="A1:AH9"/>
  <sheetViews>
    <sheetView topLeftCell="Q1" workbookViewId="0">
      <selection activeCell="W2" sqref="W2:W3"/>
    </sheetView>
  </sheetViews>
  <sheetFormatPr defaultRowHeight="14.5" x14ac:dyDescent="0.35"/>
  <cols>
    <col min="27" max="27" width="10.453125" customWidth="1"/>
    <col min="28" max="28" width="10.26953125" customWidth="1"/>
    <col min="30" max="31" width="9.90625" customWidth="1"/>
    <col min="32" max="32" width="12.453125" bestFit="1" customWidth="1"/>
  </cols>
  <sheetData>
    <row r="1" spans="1:34" x14ac:dyDescent="0.35">
      <c r="A1" t="s">
        <v>1</v>
      </c>
      <c r="B1" t="s">
        <v>2</v>
      </c>
      <c r="C1" t="s">
        <v>3</v>
      </c>
      <c r="E1" t="s">
        <v>4</v>
      </c>
      <c r="F1" t="s">
        <v>2</v>
      </c>
      <c r="G1" t="s">
        <v>5</v>
      </c>
      <c r="H1" t="s">
        <v>6</v>
      </c>
      <c r="L1" t="s">
        <v>17</v>
      </c>
      <c r="M1" t="s">
        <v>20</v>
      </c>
      <c r="N1" t="s">
        <v>19</v>
      </c>
      <c r="O1" t="s">
        <v>21</v>
      </c>
      <c r="P1" t="s">
        <v>13</v>
      </c>
      <c r="Q1" t="s">
        <v>16</v>
      </c>
      <c r="R1" t="s">
        <v>37</v>
      </c>
      <c r="S1" t="s">
        <v>1</v>
      </c>
      <c r="T1" t="s">
        <v>33</v>
      </c>
      <c r="U1" t="s">
        <v>36</v>
      </c>
      <c r="V1" t="s">
        <v>34</v>
      </c>
      <c r="W1" t="s">
        <v>35</v>
      </c>
      <c r="AA1" t="s">
        <v>40</v>
      </c>
      <c r="AB1" t="s">
        <v>39</v>
      </c>
      <c r="AC1" t="s">
        <v>24</v>
      </c>
      <c r="AD1" t="s">
        <v>38</v>
      </c>
      <c r="AE1" t="s">
        <v>18</v>
      </c>
      <c r="AF1" t="s">
        <v>41</v>
      </c>
      <c r="AG1" t="s">
        <v>39</v>
      </c>
      <c r="AH1" t="s">
        <v>35</v>
      </c>
    </row>
    <row r="2" spans="1:34" x14ac:dyDescent="0.35">
      <c r="A2">
        <v>3</v>
      </c>
      <c r="B2">
        <v>2.5726800000000001</v>
      </c>
      <c r="C2">
        <f>A2*B2</f>
        <v>7.7180400000000002</v>
      </c>
      <c r="E2">
        <v>2</v>
      </c>
      <c r="Q2" t="s">
        <v>0</v>
      </c>
      <c r="R2">
        <v>2</v>
      </c>
      <c r="S2">
        <v>3</v>
      </c>
      <c r="T2">
        <f>C2</f>
        <v>7.7180400000000002</v>
      </c>
      <c r="U2">
        <v>1.1122829999999999</v>
      </c>
      <c r="V2">
        <f>U2*R2</f>
        <v>2.2245659999999998</v>
      </c>
      <c r="W2">
        <f>T2-V2</f>
        <v>5.4934740000000009</v>
      </c>
      <c r="X2" t="s">
        <v>32</v>
      </c>
      <c r="AA2">
        <v>2014101.7778400001</v>
      </c>
      <c r="AB2">
        <v>3016029.3219699999</v>
      </c>
      <c r="AC2">
        <v>9.9999999999999995E-7</v>
      </c>
      <c r="AD2">
        <v>1.007825</v>
      </c>
      <c r="AE2">
        <v>931.49</v>
      </c>
      <c r="AF2">
        <f>AA2*AC2</f>
        <v>2.0141017778400001</v>
      </c>
      <c r="AG2">
        <f>AB2*AC2</f>
        <v>3.0160293219699996</v>
      </c>
      <c r="AH2">
        <f>(AF2+AD2-AG2)*AE2</f>
        <v>5.4934211683467256</v>
      </c>
    </row>
    <row r="3" spans="1:34" x14ac:dyDescent="0.35">
      <c r="A3">
        <v>4</v>
      </c>
      <c r="B3">
        <v>7.0739159999999996</v>
      </c>
      <c r="C3">
        <f>A3*B3</f>
        <v>28.295663999999999</v>
      </c>
      <c r="E3">
        <v>3</v>
      </c>
      <c r="F3">
        <v>2.5726800000000001</v>
      </c>
      <c r="G3">
        <v>7.7180400000000002</v>
      </c>
      <c r="H3">
        <f>C3-G3</f>
        <v>20.577624</v>
      </c>
      <c r="L3">
        <v>3.0160293219700001</v>
      </c>
      <c r="M3">
        <f>L4</f>
        <v>4.0026032541300003</v>
      </c>
      <c r="N3">
        <v>1.0086649159000001</v>
      </c>
      <c r="O3">
        <v>931.49</v>
      </c>
      <c r="P3">
        <f>(L3-M3+N3)*O3</f>
        <v>20.57753044397246</v>
      </c>
      <c r="Q3">
        <v>2</v>
      </c>
      <c r="R3">
        <v>3</v>
      </c>
      <c r="S3">
        <v>4</v>
      </c>
      <c r="T3">
        <f t="shared" ref="T3:T7" si="0">C3</f>
        <v>28.295663999999999</v>
      </c>
      <c r="U3">
        <v>2.8272650000000001</v>
      </c>
      <c r="V3">
        <f t="shared" ref="V3:V7" si="1">U3*R3</f>
        <v>8.481795</v>
      </c>
      <c r="W3">
        <f t="shared" ref="W3:W7" si="2">T3-V3</f>
        <v>19.813868999999997</v>
      </c>
      <c r="X3" t="s">
        <v>32</v>
      </c>
      <c r="AA3">
        <v>3016049.2813200001</v>
      </c>
      <c r="AB3">
        <v>4002603.2541299998</v>
      </c>
      <c r="AC3">
        <v>9.9999999999999995E-7</v>
      </c>
      <c r="AD3">
        <v>1.007825</v>
      </c>
      <c r="AE3">
        <v>931.49</v>
      </c>
      <c r="AF3">
        <f t="shared" ref="AF3:AF7" si="3">AA3*AC3</f>
        <v>3.0160492813199999</v>
      </c>
      <c r="AG3">
        <f t="shared" ref="AG3:AG7" si="4">AB3*AC3</f>
        <v>4.0026032541299994</v>
      </c>
      <c r="AH3">
        <f>(AF3+AD3-AG3)*AE3</f>
        <v>19.813749117213163</v>
      </c>
    </row>
    <row r="4" spans="1:34" x14ac:dyDescent="0.35">
      <c r="A4">
        <v>5</v>
      </c>
      <c r="B4">
        <v>5.5119999999999996</v>
      </c>
      <c r="C4">
        <f>A4*B4</f>
        <v>27.56</v>
      </c>
      <c r="E4">
        <v>4</v>
      </c>
      <c r="F4">
        <v>7.0739159999999996</v>
      </c>
      <c r="G4">
        <f t="shared" ref="G4:G9" si="5">E4*F4</f>
        <v>28.295663999999999</v>
      </c>
      <c r="H4">
        <f>C4-G4</f>
        <v>-0.73566399999999987</v>
      </c>
      <c r="L4">
        <v>4.0026032541300003</v>
      </c>
      <c r="M4">
        <f t="shared" ref="M4:M6" si="6">L5</f>
        <v>5.0120570000000004</v>
      </c>
      <c r="N4">
        <v>1.0086649159000001</v>
      </c>
      <c r="O4">
        <v>931.49</v>
      </c>
      <c r="P4">
        <f t="shared" ref="P4:P9" si="7">(L4-M4+N4)*O4</f>
        <v>-0.73478722875536628</v>
      </c>
      <c r="Q4">
        <v>3</v>
      </c>
      <c r="R4">
        <v>4</v>
      </c>
      <c r="S4">
        <v>5</v>
      </c>
      <c r="T4">
        <f t="shared" si="0"/>
        <v>27.56</v>
      </c>
      <c r="U4">
        <v>1.72</v>
      </c>
      <c r="V4">
        <f t="shared" si="1"/>
        <v>6.88</v>
      </c>
      <c r="W4">
        <f t="shared" si="2"/>
        <v>20.68</v>
      </c>
      <c r="X4" t="s">
        <v>32</v>
      </c>
      <c r="AA4">
        <v>4026430</v>
      </c>
      <c r="AB4">
        <v>5012057</v>
      </c>
      <c r="AC4">
        <v>9.9999999999999995E-7</v>
      </c>
      <c r="AD4">
        <v>1.007825</v>
      </c>
      <c r="AE4">
        <v>931.49</v>
      </c>
      <c r="AF4">
        <f t="shared" si="3"/>
        <v>4.0264299999999995</v>
      </c>
      <c r="AG4">
        <f t="shared" si="4"/>
        <v>5.0120569999999995</v>
      </c>
      <c r="AH4">
        <f t="shared" ref="AH4:AH7" si="8">(AF4+AD4-AG4)*AE4</f>
        <v>20.677215020000357</v>
      </c>
    </row>
    <row r="5" spans="1:34" x14ac:dyDescent="0.35">
      <c r="A5">
        <v>6</v>
      </c>
      <c r="B5">
        <v>4.87852</v>
      </c>
      <c r="C5">
        <f>A5*B5</f>
        <v>29.27112</v>
      </c>
      <c r="E5">
        <v>5</v>
      </c>
      <c r="F5">
        <v>5.5119999999999996</v>
      </c>
      <c r="G5">
        <f t="shared" si="5"/>
        <v>27.56</v>
      </c>
      <c r="H5">
        <f t="shared" ref="H5:H9" si="9">C5-G5</f>
        <v>1.7111200000000011</v>
      </c>
      <c r="L5">
        <v>5.0120570000000004</v>
      </c>
      <c r="M5">
        <f t="shared" si="6"/>
        <v>6.01888589</v>
      </c>
      <c r="N5">
        <v>1.0086649159000001</v>
      </c>
      <c r="O5">
        <v>931.49</v>
      </c>
      <c r="P5">
        <f t="shared" si="7"/>
        <v>1.7102397655915007</v>
      </c>
      <c r="Q5">
        <v>4</v>
      </c>
      <c r="R5">
        <v>5</v>
      </c>
      <c r="S5">
        <v>6</v>
      </c>
      <c r="T5">
        <f t="shared" si="0"/>
        <v>29.27112</v>
      </c>
      <c r="U5">
        <v>1.3360000000000001</v>
      </c>
      <c r="V5">
        <f t="shared" si="1"/>
        <v>6.6800000000000006</v>
      </c>
      <c r="W5">
        <f t="shared" si="2"/>
        <v>22.59112</v>
      </c>
      <c r="X5" t="s">
        <v>32</v>
      </c>
      <c r="AA5">
        <v>5035310</v>
      </c>
      <c r="AB5">
        <v>6018885.8899999997</v>
      </c>
      <c r="AC5">
        <v>9.9999999999999995E-7</v>
      </c>
      <c r="AD5">
        <v>1.007825</v>
      </c>
      <c r="AE5">
        <v>931.49</v>
      </c>
      <c r="AF5">
        <f t="shared" si="3"/>
        <v>5.03531</v>
      </c>
      <c r="AG5">
        <f t="shared" si="4"/>
        <v>6.0188858899999991</v>
      </c>
      <c r="AH5">
        <f t="shared" si="8"/>
        <v>22.587803473900379</v>
      </c>
    </row>
    <row r="6" spans="1:34" x14ac:dyDescent="0.35">
      <c r="A6">
        <v>7</v>
      </c>
      <c r="B6">
        <v>4.1231</v>
      </c>
      <c r="C6">
        <f t="shared" ref="C6" si="10">A6*B6</f>
        <v>28.861699999999999</v>
      </c>
      <c r="E6">
        <v>6</v>
      </c>
      <c r="F6">
        <v>4.87852</v>
      </c>
      <c r="G6">
        <f t="shared" si="5"/>
        <v>29.27112</v>
      </c>
      <c r="H6">
        <f t="shared" si="9"/>
        <v>-0.40942000000000078</v>
      </c>
      <c r="L6">
        <v>6.01888589</v>
      </c>
      <c r="M6">
        <f t="shared" si="6"/>
        <v>7.0279910000000001</v>
      </c>
      <c r="N6">
        <v>1.0086649159000001</v>
      </c>
      <c r="O6">
        <v>931.49</v>
      </c>
      <c r="P6">
        <f t="shared" si="7"/>
        <v>-0.41003640220906395</v>
      </c>
      <c r="Q6">
        <v>5</v>
      </c>
      <c r="R6">
        <v>6</v>
      </c>
      <c r="S6">
        <v>7</v>
      </c>
      <c r="T6">
        <f t="shared" si="0"/>
        <v>28.861699999999999</v>
      </c>
      <c r="U6">
        <v>0.96</v>
      </c>
      <c r="V6">
        <f t="shared" si="1"/>
        <v>5.76</v>
      </c>
      <c r="W6">
        <f t="shared" si="2"/>
        <v>23.101700000000001</v>
      </c>
      <c r="X6" t="s">
        <v>32</v>
      </c>
      <c r="AA6">
        <v>6044960</v>
      </c>
      <c r="AB6">
        <v>7027991</v>
      </c>
      <c r="AC6">
        <v>9.9999999999999995E-7</v>
      </c>
      <c r="AD6">
        <v>1.007825</v>
      </c>
      <c r="AE6">
        <v>931.49</v>
      </c>
      <c r="AF6">
        <f t="shared" si="3"/>
        <v>6.0449599999999997</v>
      </c>
      <c r="AG6">
        <f t="shared" si="4"/>
        <v>7.0279910000000001</v>
      </c>
      <c r="AH6">
        <f t="shared" si="8"/>
        <v>23.095363059999983</v>
      </c>
    </row>
    <row r="7" spans="1:34" x14ac:dyDescent="0.35">
      <c r="A7">
        <v>8</v>
      </c>
      <c r="B7">
        <v>3.9245209999999999</v>
      </c>
      <c r="C7">
        <f>A7*B7</f>
        <v>31.396167999999999</v>
      </c>
      <c r="E7">
        <v>7</v>
      </c>
      <c r="F7">
        <f>B6</f>
        <v>4.1231</v>
      </c>
      <c r="G7">
        <f t="shared" si="5"/>
        <v>28.861699999999999</v>
      </c>
      <c r="H7">
        <f t="shared" si="9"/>
        <v>2.5344680000000004</v>
      </c>
      <c r="L7">
        <v>7.0279910000000001</v>
      </c>
      <c r="M7">
        <v>8.0339343900000006</v>
      </c>
      <c r="N7">
        <v>1.0086649159000001</v>
      </c>
      <c r="O7">
        <v>931.49</v>
      </c>
      <c r="P7">
        <f t="shared" si="7"/>
        <v>2.5350741605905545</v>
      </c>
      <c r="Q7">
        <v>6</v>
      </c>
      <c r="R7">
        <v>7</v>
      </c>
      <c r="S7">
        <v>8</v>
      </c>
      <c r="T7">
        <f t="shared" si="0"/>
        <v>31.396167999999999</v>
      </c>
      <c r="U7">
        <v>0.94</v>
      </c>
      <c r="V7">
        <f t="shared" si="1"/>
        <v>6.58</v>
      </c>
      <c r="W7">
        <f t="shared" si="2"/>
        <v>24.816167999999998</v>
      </c>
      <c r="X7" t="s">
        <v>32</v>
      </c>
      <c r="AA7">
        <v>7052750</v>
      </c>
      <c r="AB7">
        <v>8033934.3899999997</v>
      </c>
      <c r="AC7">
        <v>9.9999999999999995E-7</v>
      </c>
      <c r="AD7">
        <v>1.007825</v>
      </c>
      <c r="AE7">
        <v>931.49</v>
      </c>
      <c r="AF7">
        <f t="shared" si="3"/>
        <v>7.0527499999999996</v>
      </c>
      <c r="AG7">
        <f t="shared" si="4"/>
        <v>8.0339343899999989</v>
      </c>
      <c r="AH7">
        <f t="shared" si="8"/>
        <v>24.815461808901095</v>
      </c>
    </row>
    <row r="8" spans="1:34" x14ac:dyDescent="0.35">
      <c r="A8">
        <v>9</v>
      </c>
      <c r="B8">
        <v>3.3490000000000002</v>
      </c>
      <c r="C8">
        <f t="shared" ref="C8:C9" si="11">A8*B8</f>
        <v>30.141000000000002</v>
      </c>
      <c r="E8">
        <v>8</v>
      </c>
      <c r="F8">
        <f t="shared" ref="F8:F9" si="12">B7</f>
        <v>3.9245209999999999</v>
      </c>
      <c r="G8">
        <f t="shared" si="5"/>
        <v>31.396167999999999</v>
      </c>
      <c r="H8">
        <f t="shared" si="9"/>
        <v>-1.2551679999999976</v>
      </c>
      <c r="L8">
        <f>M7</f>
        <v>8.0339343900000006</v>
      </c>
      <c r="M8">
        <v>9.0439500000000006</v>
      </c>
      <c r="N8">
        <v>1.0086649159000001</v>
      </c>
      <c r="O8">
        <v>931.49</v>
      </c>
      <c r="P8">
        <f t="shared" si="7"/>
        <v>-1.2581580472088909</v>
      </c>
      <c r="Q8">
        <v>7</v>
      </c>
      <c r="AA8" t="s">
        <v>0</v>
      </c>
    </row>
    <row r="9" spans="1:34" x14ac:dyDescent="0.35">
      <c r="A9">
        <v>10</v>
      </c>
      <c r="B9">
        <v>2.9950000000000001</v>
      </c>
      <c r="C9">
        <f t="shared" si="11"/>
        <v>29.950000000000003</v>
      </c>
      <c r="E9">
        <v>9</v>
      </c>
      <c r="F9">
        <f t="shared" si="12"/>
        <v>3.3490000000000002</v>
      </c>
      <c r="G9">
        <f t="shared" si="5"/>
        <v>30.141000000000002</v>
      </c>
      <c r="H9">
        <f t="shared" si="9"/>
        <v>-0.19099999999999895</v>
      </c>
      <c r="L9">
        <f>M8</f>
        <v>9.0439500000000006</v>
      </c>
      <c r="M9">
        <v>10.052820000000001</v>
      </c>
      <c r="N9">
        <v>1.0086649159000001</v>
      </c>
      <c r="O9">
        <v>931.49</v>
      </c>
      <c r="P9">
        <f t="shared" si="7"/>
        <v>-0.1910337883088731</v>
      </c>
      <c r="Q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0F71-BF6E-4969-B7DE-2D3A3603C4CE}">
  <dimension ref="A1:AM18"/>
  <sheetViews>
    <sheetView topLeftCell="Q1" zoomScale="68" zoomScaleNormal="85" workbookViewId="0">
      <selection activeCell="U1" sqref="U1:U17"/>
    </sheetView>
  </sheetViews>
  <sheetFormatPr defaultRowHeight="14.5" x14ac:dyDescent="0.35"/>
  <cols>
    <col min="13" max="13" width="10.81640625" bestFit="1" customWidth="1"/>
    <col min="14" max="14" width="10.90625" customWidth="1"/>
    <col min="16" max="24" width="8.81640625" bestFit="1" customWidth="1"/>
    <col min="25" max="25" width="10.7265625" customWidth="1"/>
    <col min="26" max="26" width="8.81640625" bestFit="1" customWidth="1"/>
    <col min="32" max="33" width="11.08984375" bestFit="1" customWidth="1"/>
    <col min="34" max="34" width="9.08984375" bestFit="1" customWidth="1"/>
    <col min="35" max="35" width="10.1796875" customWidth="1"/>
    <col min="36" max="39" width="8.81640625" bestFit="1" customWidth="1"/>
  </cols>
  <sheetData>
    <row r="1" spans="1:39" x14ac:dyDescent="0.35">
      <c r="A1" t="s">
        <v>1</v>
      </c>
      <c r="B1" t="s">
        <v>2</v>
      </c>
      <c r="C1" t="s">
        <v>3</v>
      </c>
      <c r="D1" t="s">
        <v>16</v>
      </c>
      <c r="E1" t="s">
        <v>4</v>
      </c>
      <c r="F1" t="s">
        <v>2</v>
      </c>
      <c r="G1" t="s">
        <v>3</v>
      </c>
      <c r="H1" t="s">
        <v>6</v>
      </c>
      <c r="M1" t="s">
        <v>22</v>
      </c>
      <c r="N1" t="s">
        <v>23</v>
      </c>
      <c r="O1" t="s">
        <v>24</v>
      </c>
      <c r="P1" t="s">
        <v>25</v>
      </c>
      <c r="Q1" t="s">
        <v>18</v>
      </c>
      <c r="R1" t="s">
        <v>26</v>
      </c>
      <c r="S1" t="s">
        <v>13</v>
      </c>
      <c r="T1" t="s">
        <v>37</v>
      </c>
      <c r="U1" t="s">
        <v>1</v>
      </c>
      <c r="V1" t="s">
        <v>43</v>
      </c>
      <c r="W1" t="s">
        <v>44</v>
      </c>
      <c r="X1" t="s">
        <v>42</v>
      </c>
      <c r="Y1" t="s">
        <v>45</v>
      </c>
      <c r="Z1" t="s">
        <v>35</v>
      </c>
      <c r="AF1" t="s">
        <v>40</v>
      </c>
      <c r="AG1" t="s">
        <v>39</v>
      </c>
      <c r="AH1" t="s">
        <v>46</v>
      </c>
      <c r="AI1" t="s">
        <v>41</v>
      </c>
      <c r="AJ1" t="s">
        <v>39</v>
      </c>
      <c r="AK1" t="s">
        <v>18</v>
      </c>
      <c r="AL1" t="s">
        <v>47</v>
      </c>
      <c r="AM1" t="s">
        <v>51</v>
      </c>
    </row>
    <row r="2" spans="1:39" x14ac:dyDescent="0.35">
      <c r="A2">
        <v>12</v>
      </c>
      <c r="B2">
        <v>4.8819999999999997</v>
      </c>
      <c r="C2">
        <f>A2*B2</f>
        <v>58.583999999999996</v>
      </c>
      <c r="D2">
        <v>4</v>
      </c>
      <c r="E2">
        <v>11</v>
      </c>
      <c r="F2">
        <v>3.1619999999999999</v>
      </c>
      <c r="G2">
        <f>E2*F2</f>
        <v>34.781999999999996</v>
      </c>
      <c r="H2">
        <f>C2-G2</f>
        <v>23.802</v>
      </c>
      <c r="M2">
        <v>12034368</v>
      </c>
      <c r="N2">
        <v>9.9999999999999995E-7</v>
      </c>
      <c r="O2">
        <f>M2*N2</f>
        <v>12.034367999999999</v>
      </c>
      <c r="P2">
        <v>11.05125</v>
      </c>
      <c r="Q2">
        <v>931.49</v>
      </c>
      <c r="R2">
        <v>1.0086649194999999</v>
      </c>
      <c r="S2">
        <f>(P2+R2-O2)*Q2</f>
        <v>23.796700045054987</v>
      </c>
      <c r="T2">
        <v>10</v>
      </c>
      <c r="U2">
        <v>11</v>
      </c>
      <c r="V2">
        <v>34.781999999999996</v>
      </c>
      <c r="W2">
        <v>3640</v>
      </c>
      <c r="X2">
        <v>1E-3</v>
      </c>
      <c r="Y2">
        <f>X2*T2*W2</f>
        <v>36.4</v>
      </c>
      <c r="Z2">
        <f>V2-Y2</f>
        <v>-1.6180000000000021</v>
      </c>
      <c r="AF2">
        <v>10041650</v>
      </c>
      <c r="AG2">
        <v>11051250</v>
      </c>
      <c r="AH2">
        <v>9.9999999999999995E-7</v>
      </c>
      <c r="AI2">
        <f>AF2*AH2</f>
        <v>10.041649999999999</v>
      </c>
      <c r="AJ2">
        <f>AH2*AG2</f>
        <v>11.05125</v>
      </c>
      <c r="AK2">
        <v>931.49</v>
      </c>
      <c r="AL2">
        <v>1.007825</v>
      </c>
      <c r="AM2">
        <f>(AI2+AL2-AJ2)*AK2</f>
        <v>-1.6533947500002832</v>
      </c>
    </row>
    <row r="3" spans="1:39" x14ac:dyDescent="0.35">
      <c r="A3">
        <v>13</v>
      </c>
      <c r="B3">
        <v>5.8117999999999999</v>
      </c>
      <c r="C3">
        <f t="shared" ref="C3:C18" si="0">A3*B3</f>
        <v>75.553399999999996</v>
      </c>
      <c r="D3">
        <v>5</v>
      </c>
      <c r="E3">
        <v>12</v>
      </c>
      <c r="F3">
        <f>B2</f>
        <v>4.8819999999999997</v>
      </c>
      <c r="G3">
        <f>E3*F3</f>
        <v>58.583999999999996</v>
      </c>
      <c r="H3">
        <f t="shared" ref="H3:H18" si="1">C3-G3</f>
        <v>16.9694</v>
      </c>
      <c r="M3">
        <v>13024815</v>
      </c>
      <c r="N3">
        <v>9.9999999999999995E-7</v>
      </c>
      <c r="O3">
        <f t="shared" ref="O3:O18" si="2">M3*N3</f>
        <v>13.024815</v>
      </c>
      <c r="P3">
        <f>O2</f>
        <v>12.034367999999999</v>
      </c>
      <c r="Q3">
        <v>931.49</v>
      </c>
      <c r="R3">
        <v>1.0086649194999999</v>
      </c>
      <c r="S3">
        <f t="shared" ref="S3:S18" si="3">(P3+R3-O3)*Q3</f>
        <v>16.969809835052995</v>
      </c>
      <c r="T3">
        <v>11</v>
      </c>
      <c r="U3">
        <v>12</v>
      </c>
      <c r="V3">
        <f>C2</f>
        <v>58.583999999999996</v>
      </c>
      <c r="W3">
        <v>5358.4</v>
      </c>
      <c r="X3">
        <v>1E-3</v>
      </c>
      <c r="Y3">
        <f t="shared" ref="Y3:Y17" si="4">X3*T3*W3</f>
        <v>58.942399999999992</v>
      </c>
      <c r="Z3">
        <f t="shared" ref="Z3:Z17" si="5">V3-Y3</f>
        <v>-0.35839999999999606</v>
      </c>
      <c r="AF3">
        <v>11026158</v>
      </c>
      <c r="AG3">
        <f>M2</f>
        <v>12034368</v>
      </c>
      <c r="AH3">
        <v>9.9999999999999995E-7</v>
      </c>
      <c r="AI3">
        <f t="shared" ref="AI3:AI17" si="6">AF3*AH3</f>
        <v>11.026157999999999</v>
      </c>
      <c r="AJ3">
        <f t="shared" ref="AJ3:AJ17" si="7">AH3*AG3</f>
        <v>12.034367999999999</v>
      </c>
      <c r="AK3">
        <v>931.49</v>
      </c>
      <c r="AL3">
        <v>1.007825</v>
      </c>
      <c r="AM3">
        <f t="shared" ref="AM3:AM17" si="8">(AI3+AL3-AJ3)*AK3</f>
        <v>-0.35862364999966062</v>
      </c>
    </row>
    <row r="4" spans="1:39" x14ac:dyDescent="0.35">
      <c r="A4">
        <v>14</v>
      </c>
      <c r="B4">
        <v>7.0522780000000003</v>
      </c>
      <c r="C4">
        <f t="shared" si="0"/>
        <v>98.731892000000002</v>
      </c>
      <c r="D4">
        <v>6</v>
      </c>
      <c r="E4">
        <v>13</v>
      </c>
      <c r="F4">
        <f t="shared" ref="F4:F18" si="9">B3</f>
        <v>5.8117999999999999</v>
      </c>
      <c r="G4">
        <f t="shared" ref="G4:G18" si="10">E4*F4</f>
        <v>75.553399999999996</v>
      </c>
      <c r="H4">
        <f t="shared" si="1"/>
        <v>23.178492000000006</v>
      </c>
      <c r="M4">
        <v>14008596.706</v>
      </c>
      <c r="N4">
        <v>9.9999999999999995E-7</v>
      </c>
      <c r="O4">
        <f t="shared" si="2"/>
        <v>14.008596705999999</v>
      </c>
      <c r="P4">
        <f t="shared" ref="P4:P18" si="11">O3</f>
        <v>13.024815</v>
      </c>
      <c r="Q4">
        <v>931.49</v>
      </c>
      <c r="R4">
        <v>1.0086649194999999</v>
      </c>
      <c r="S4">
        <f t="shared" si="3"/>
        <v>23.178464543115727</v>
      </c>
      <c r="T4">
        <v>12</v>
      </c>
      <c r="U4">
        <v>13</v>
      </c>
      <c r="V4">
        <f t="shared" ref="V4:V17" si="12">C3</f>
        <v>75.553399999999996</v>
      </c>
      <c r="W4">
        <v>6170.11</v>
      </c>
      <c r="X4">
        <v>1E-3</v>
      </c>
      <c r="Y4">
        <f t="shared" si="4"/>
        <v>74.041319999999999</v>
      </c>
      <c r="Z4">
        <f t="shared" si="5"/>
        <v>1.5120799999999974</v>
      </c>
      <c r="AF4">
        <v>12018613.199999999</v>
      </c>
      <c r="AG4">
        <f t="shared" ref="AG4:AG17" si="13">M3</f>
        <v>13024815</v>
      </c>
      <c r="AH4">
        <v>9.9999999999999995E-7</v>
      </c>
      <c r="AI4">
        <f t="shared" si="6"/>
        <v>12.018613199999999</v>
      </c>
      <c r="AJ4">
        <f t="shared" si="7"/>
        <v>13.024815</v>
      </c>
      <c r="AK4">
        <v>931.49</v>
      </c>
      <c r="AL4">
        <v>1.007825</v>
      </c>
      <c r="AM4">
        <f t="shared" si="8"/>
        <v>1.5119945679992164</v>
      </c>
    </row>
    <row r="5" spans="1:39" x14ac:dyDescent="0.35">
      <c r="A5">
        <v>15</v>
      </c>
      <c r="B5">
        <v>7.4636899999999997</v>
      </c>
      <c r="C5">
        <f t="shared" si="0"/>
        <v>111.95535</v>
      </c>
      <c r="D5">
        <v>7</v>
      </c>
      <c r="E5">
        <v>14</v>
      </c>
      <c r="F5">
        <f t="shared" si="9"/>
        <v>7.0522780000000003</v>
      </c>
      <c r="G5">
        <f t="shared" si="10"/>
        <v>98.731892000000002</v>
      </c>
      <c r="H5">
        <f t="shared" si="1"/>
        <v>13.223457999999994</v>
      </c>
      <c r="M5">
        <v>15003065.6</v>
      </c>
      <c r="N5">
        <v>9.9999999999999995E-7</v>
      </c>
      <c r="O5">
        <f t="shared" si="2"/>
        <v>15.003065599999999</v>
      </c>
      <c r="P5">
        <f t="shared" si="11"/>
        <v>14.008596705999999</v>
      </c>
      <c r="Q5">
        <v>931.49</v>
      </c>
      <c r="R5">
        <v>1.0086649194999999</v>
      </c>
      <c r="S5">
        <f t="shared" si="3"/>
        <v>13.223455792993747</v>
      </c>
      <c r="T5">
        <v>13</v>
      </c>
      <c r="U5">
        <v>14</v>
      </c>
      <c r="V5">
        <f t="shared" si="12"/>
        <v>98.731892000000002</v>
      </c>
      <c r="W5">
        <v>7238.8630000000003</v>
      </c>
      <c r="X5">
        <v>1E-3</v>
      </c>
      <c r="Y5">
        <f t="shared" si="4"/>
        <v>94.105219000000005</v>
      </c>
      <c r="Z5">
        <f t="shared" si="5"/>
        <v>4.6266729999999967</v>
      </c>
      <c r="AF5">
        <v>13005738.609999999</v>
      </c>
      <c r="AG5">
        <f t="shared" si="13"/>
        <v>14008596.706</v>
      </c>
      <c r="AH5">
        <v>9.9999999999999995E-7</v>
      </c>
      <c r="AI5">
        <f t="shared" si="6"/>
        <v>13.005738609999998</v>
      </c>
      <c r="AJ5">
        <f t="shared" si="7"/>
        <v>14.008596705999999</v>
      </c>
      <c r="AK5">
        <v>931.49</v>
      </c>
      <c r="AL5">
        <v>1.007825</v>
      </c>
      <c r="AM5">
        <f t="shared" si="8"/>
        <v>4.6266214069597877</v>
      </c>
    </row>
    <row r="6" spans="1:39" x14ac:dyDescent="0.35">
      <c r="A6">
        <v>16</v>
      </c>
      <c r="B6">
        <v>7.9762069999999996</v>
      </c>
      <c r="C6">
        <f t="shared" si="0"/>
        <v>127.61931199999999</v>
      </c>
      <c r="D6">
        <v>8</v>
      </c>
      <c r="E6">
        <v>15</v>
      </c>
      <c r="F6">
        <f t="shared" si="9"/>
        <v>7.4636899999999997</v>
      </c>
      <c r="G6">
        <f t="shared" si="10"/>
        <v>111.95535</v>
      </c>
      <c r="H6">
        <f t="shared" si="1"/>
        <v>15.663961999999998</v>
      </c>
      <c r="M6">
        <v>15994914.6193</v>
      </c>
      <c r="N6">
        <v>9.9999999999999995E-7</v>
      </c>
      <c r="O6">
        <f t="shared" si="2"/>
        <v>15.994914619299999</v>
      </c>
      <c r="P6">
        <f t="shared" si="11"/>
        <v>15.003065599999999</v>
      </c>
      <c r="Q6">
        <v>931.49</v>
      </c>
      <c r="R6">
        <v>1.0086649194999999</v>
      </c>
      <c r="S6">
        <f t="shared" si="3"/>
        <v>15.663842877297286</v>
      </c>
      <c r="T6">
        <v>14</v>
      </c>
      <c r="U6">
        <v>15</v>
      </c>
      <c r="V6">
        <f t="shared" si="12"/>
        <v>111.95535</v>
      </c>
      <c r="W6">
        <v>7475.6149999999998</v>
      </c>
      <c r="X6">
        <v>1E-3</v>
      </c>
      <c r="Y6">
        <f t="shared" si="4"/>
        <v>104.65861</v>
      </c>
      <c r="Z6">
        <f t="shared" si="5"/>
        <v>7.2967399999999998</v>
      </c>
      <c r="AF6">
        <v>14003074.004249999</v>
      </c>
      <c r="AG6">
        <f t="shared" si="13"/>
        <v>15003065.6</v>
      </c>
      <c r="AH6">
        <v>9.9999999999999995E-7</v>
      </c>
      <c r="AI6">
        <f t="shared" si="6"/>
        <v>14.003074004249999</v>
      </c>
      <c r="AJ6">
        <f t="shared" si="7"/>
        <v>15.003065599999999</v>
      </c>
      <c r="AK6">
        <v>931.49</v>
      </c>
      <c r="AL6">
        <v>1.007825</v>
      </c>
      <c r="AM6">
        <f t="shared" si="8"/>
        <v>7.2967377248328189</v>
      </c>
    </row>
    <row r="7" spans="1:39" x14ac:dyDescent="0.35">
      <c r="A7">
        <v>17</v>
      </c>
      <c r="B7">
        <v>7.7507289999999998</v>
      </c>
      <c r="C7">
        <f t="shared" si="0"/>
        <v>131.762393</v>
      </c>
      <c r="D7">
        <v>9</v>
      </c>
      <c r="E7">
        <v>16</v>
      </c>
      <c r="F7">
        <f t="shared" si="9"/>
        <v>7.9762069999999996</v>
      </c>
      <c r="G7">
        <f t="shared" si="10"/>
        <v>127.61931199999999</v>
      </c>
      <c r="H7">
        <f t="shared" si="1"/>
        <v>4.1430810000000093</v>
      </c>
      <c r="M7">
        <v>16999131.756000001</v>
      </c>
      <c r="N7">
        <v>9.9999999999999995E-7</v>
      </c>
      <c r="O7">
        <f t="shared" si="2"/>
        <v>16.999131756000001</v>
      </c>
      <c r="P7">
        <f t="shared" si="11"/>
        <v>15.994914619299999</v>
      </c>
      <c r="Q7">
        <v>931.49</v>
      </c>
      <c r="R7">
        <v>1.0086649194999999</v>
      </c>
      <c r="S7">
        <f t="shared" si="3"/>
        <v>4.1430652003718134</v>
      </c>
      <c r="T7">
        <v>15</v>
      </c>
      <c r="U7">
        <v>16</v>
      </c>
      <c r="V7">
        <f t="shared" si="12"/>
        <v>127.61931199999999</v>
      </c>
      <c r="W7">
        <v>7699.46</v>
      </c>
      <c r="X7">
        <v>1E-3</v>
      </c>
      <c r="Y7">
        <f t="shared" si="4"/>
        <v>115.4919</v>
      </c>
      <c r="Z7">
        <f t="shared" si="5"/>
        <v>12.127411999999993</v>
      </c>
      <c r="AF7">
        <v>15000108.8983</v>
      </c>
      <c r="AG7">
        <f t="shared" si="13"/>
        <v>15994914.6193</v>
      </c>
      <c r="AH7">
        <v>9.9999999999999995E-7</v>
      </c>
      <c r="AI7">
        <f t="shared" si="6"/>
        <v>15.000108898299999</v>
      </c>
      <c r="AJ7">
        <f t="shared" si="7"/>
        <v>15.994914619299999</v>
      </c>
      <c r="AK7">
        <v>931.49</v>
      </c>
      <c r="AL7">
        <v>1.007825</v>
      </c>
      <c r="AM7">
        <f t="shared" si="8"/>
        <v>12.127328195709891</v>
      </c>
    </row>
    <row r="8" spans="1:39" x14ac:dyDescent="0.35">
      <c r="A8">
        <v>18</v>
      </c>
      <c r="B8">
        <v>7.7670979999999998</v>
      </c>
      <c r="C8">
        <f t="shared" si="0"/>
        <v>139.80776399999999</v>
      </c>
      <c r="D8">
        <v>10</v>
      </c>
      <c r="E8">
        <v>17</v>
      </c>
      <c r="F8">
        <f t="shared" si="9"/>
        <v>7.7507289999999998</v>
      </c>
      <c r="G8">
        <f t="shared" si="10"/>
        <v>131.762393</v>
      </c>
      <c r="H8">
        <f t="shared" si="1"/>
        <v>8.0453709999999887</v>
      </c>
      <c r="M8">
        <v>17999159.612100001</v>
      </c>
      <c r="N8">
        <v>9.9999999999999995E-7</v>
      </c>
      <c r="O8">
        <f t="shared" si="2"/>
        <v>17.999159612100001</v>
      </c>
      <c r="P8">
        <f t="shared" si="11"/>
        <v>16.999131756000001</v>
      </c>
      <c r="Q8">
        <v>931.49</v>
      </c>
      <c r="R8">
        <v>1.0086649194999999</v>
      </c>
      <c r="S8">
        <f t="shared" si="3"/>
        <v>8.0453381864644804</v>
      </c>
      <c r="T8">
        <v>16</v>
      </c>
      <c r="U8">
        <v>17</v>
      </c>
      <c r="V8">
        <f t="shared" si="12"/>
        <v>131.762393</v>
      </c>
      <c r="W8">
        <v>7373.8</v>
      </c>
      <c r="X8">
        <v>1E-3</v>
      </c>
      <c r="Y8">
        <f t="shared" si="4"/>
        <v>117.9808</v>
      </c>
      <c r="Z8">
        <f t="shared" si="5"/>
        <v>13.781593000000001</v>
      </c>
      <c r="AF8">
        <v>16006101.9</v>
      </c>
      <c r="AG8">
        <f t="shared" si="13"/>
        <v>16999131.756000001</v>
      </c>
      <c r="AH8">
        <v>9.9999999999999995E-7</v>
      </c>
      <c r="AI8">
        <f t="shared" si="6"/>
        <v>16.006101900000001</v>
      </c>
      <c r="AJ8">
        <f t="shared" si="7"/>
        <v>16.999131756000001</v>
      </c>
      <c r="AK8">
        <v>931.49</v>
      </c>
      <c r="AL8">
        <v>1.007825</v>
      </c>
      <c r="AM8">
        <f t="shared" si="8"/>
        <v>13.781528684560655</v>
      </c>
    </row>
    <row r="9" spans="1:39" x14ac:dyDescent="0.35">
      <c r="A9">
        <v>19</v>
      </c>
      <c r="B9">
        <v>7.5664999999999996</v>
      </c>
      <c r="C9">
        <f t="shared" si="0"/>
        <v>143.76349999999999</v>
      </c>
      <c r="D9">
        <v>11</v>
      </c>
      <c r="E9">
        <v>18</v>
      </c>
      <c r="F9">
        <f t="shared" si="9"/>
        <v>7.7670979999999998</v>
      </c>
      <c r="G9">
        <f t="shared" si="10"/>
        <v>139.80776399999999</v>
      </c>
      <c r="H9">
        <f t="shared" si="1"/>
        <v>3.9557360000000017</v>
      </c>
      <c r="M9">
        <v>19003578</v>
      </c>
      <c r="N9">
        <v>9.9999999999999995E-7</v>
      </c>
      <c r="O9">
        <f t="shared" si="2"/>
        <v>19.003577999999997</v>
      </c>
      <c r="P9">
        <f t="shared" si="11"/>
        <v>17.999159612100001</v>
      </c>
      <c r="Q9">
        <v>931.49</v>
      </c>
      <c r="R9">
        <v>1.0086649194999999</v>
      </c>
      <c r="S9">
        <f t="shared" si="3"/>
        <v>3.955601720087095</v>
      </c>
      <c r="T9">
        <v>17</v>
      </c>
      <c r="U9">
        <v>18</v>
      </c>
      <c r="V9">
        <f t="shared" si="12"/>
        <v>139.80776399999999</v>
      </c>
      <c r="W9">
        <v>7286.2</v>
      </c>
      <c r="X9">
        <v>1E-3</v>
      </c>
      <c r="Y9">
        <f t="shared" si="4"/>
        <v>123.86540000000001</v>
      </c>
      <c r="Z9">
        <f t="shared" si="5"/>
        <v>15.942363999999984</v>
      </c>
      <c r="AF9">
        <v>17008449</v>
      </c>
      <c r="AG9">
        <f t="shared" si="13"/>
        <v>17999159.612100001</v>
      </c>
      <c r="AH9">
        <v>9.9999999999999995E-7</v>
      </c>
      <c r="AI9">
        <f t="shared" si="6"/>
        <v>17.008448999999999</v>
      </c>
      <c r="AJ9">
        <f t="shared" si="7"/>
        <v>17.999159612100001</v>
      </c>
      <c r="AK9">
        <v>931.49</v>
      </c>
      <c r="AL9">
        <v>1.007825</v>
      </c>
      <c r="AM9">
        <f t="shared" si="8"/>
        <v>15.941881184968906</v>
      </c>
    </row>
    <row r="10" spans="1:39" x14ac:dyDescent="0.35">
      <c r="A10">
        <v>20</v>
      </c>
      <c r="B10">
        <v>7.5685700000000002</v>
      </c>
      <c r="C10">
        <f t="shared" si="0"/>
        <v>151.37139999999999</v>
      </c>
      <c r="D10">
        <v>12</v>
      </c>
      <c r="E10">
        <v>19</v>
      </c>
      <c r="F10">
        <f t="shared" si="9"/>
        <v>7.5664999999999996</v>
      </c>
      <c r="G10">
        <f t="shared" si="10"/>
        <v>143.76349999999999</v>
      </c>
      <c r="H10">
        <f t="shared" si="1"/>
        <v>7.6079000000000008</v>
      </c>
      <c r="M10">
        <v>20004075.399999999</v>
      </c>
      <c r="N10">
        <v>9.9999999999999995E-7</v>
      </c>
      <c r="O10">
        <f t="shared" si="2"/>
        <v>20.004075399999998</v>
      </c>
      <c r="P10">
        <f t="shared" si="11"/>
        <v>19.003577999999997</v>
      </c>
      <c r="Q10">
        <v>931.49</v>
      </c>
      <c r="R10">
        <v>1.0086649194999999</v>
      </c>
      <c r="S10">
        <f t="shared" si="3"/>
        <v>7.607962739053912</v>
      </c>
      <c r="T10">
        <v>18</v>
      </c>
      <c r="U10">
        <v>19</v>
      </c>
      <c r="V10">
        <f t="shared" si="12"/>
        <v>143.76349999999999</v>
      </c>
      <c r="W10">
        <v>7038.6</v>
      </c>
      <c r="X10">
        <v>1E-3</v>
      </c>
      <c r="Y10">
        <f t="shared" si="4"/>
        <v>126.69480000000001</v>
      </c>
      <c r="Z10">
        <f t="shared" si="5"/>
        <v>17.068699999999978</v>
      </c>
      <c r="AF10">
        <v>18014078</v>
      </c>
      <c r="AG10">
        <f t="shared" si="13"/>
        <v>19003578</v>
      </c>
      <c r="AH10">
        <v>9.9999999999999995E-7</v>
      </c>
      <c r="AI10">
        <f t="shared" si="6"/>
        <v>18.014077999999998</v>
      </c>
      <c r="AJ10">
        <f t="shared" si="7"/>
        <v>19.003577999999997</v>
      </c>
      <c r="AK10">
        <v>931.49</v>
      </c>
      <c r="AL10">
        <v>1.007825</v>
      </c>
      <c r="AM10">
        <f t="shared" si="8"/>
        <v>17.069554250000756</v>
      </c>
    </row>
    <row r="11" spans="1:39" x14ac:dyDescent="0.35">
      <c r="A11">
        <v>21</v>
      </c>
      <c r="B11">
        <v>7.3894000000000002</v>
      </c>
      <c r="C11">
        <f t="shared" si="0"/>
        <v>155.17740000000001</v>
      </c>
      <c r="D11">
        <v>13</v>
      </c>
      <c r="E11">
        <v>20</v>
      </c>
      <c r="F11">
        <f t="shared" si="9"/>
        <v>7.5685700000000002</v>
      </c>
      <c r="G11">
        <f t="shared" si="10"/>
        <v>151.37139999999999</v>
      </c>
      <c r="H11">
        <f t="shared" si="1"/>
        <v>3.8060000000000116</v>
      </c>
      <c r="M11">
        <v>21008655</v>
      </c>
      <c r="N11">
        <v>9.9999999999999995E-7</v>
      </c>
      <c r="O11">
        <f t="shared" si="2"/>
        <v>21.008654999999997</v>
      </c>
      <c r="P11">
        <f t="shared" si="11"/>
        <v>20.004075399999998</v>
      </c>
      <c r="Q11">
        <v>931.49</v>
      </c>
      <c r="R11">
        <v>1.0086649194999999</v>
      </c>
      <c r="S11">
        <f t="shared" si="3"/>
        <v>3.8054342610547063</v>
      </c>
      <c r="T11">
        <v>19</v>
      </c>
      <c r="U11">
        <v>20</v>
      </c>
      <c r="V11">
        <f t="shared" si="12"/>
        <v>151.37139999999999</v>
      </c>
      <c r="W11">
        <v>6948.5</v>
      </c>
      <c r="X11">
        <v>1E-3</v>
      </c>
      <c r="Y11">
        <f t="shared" si="4"/>
        <v>132.0215</v>
      </c>
      <c r="Z11">
        <f t="shared" si="5"/>
        <v>19.349899999999991</v>
      </c>
      <c r="AF11">
        <v>19017022</v>
      </c>
      <c r="AG11">
        <f t="shared" si="13"/>
        <v>20004075.399999999</v>
      </c>
      <c r="AH11">
        <v>9.9999999999999995E-7</v>
      </c>
      <c r="AI11">
        <f t="shared" si="6"/>
        <v>19.017022000000001</v>
      </c>
      <c r="AJ11">
        <f t="shared" si="7"/>
        <v>20.004075399999998</v>
      </c>
      <c r="AK11">
        <v>931.49</v>
      </c>
      <c r="AL11">
        <v>1.007825</v>
      </c>
      <c r="AM11">
        <f t="shared" si="8"/>
        <v>19.348537684003105</v>
      </c>
    </row>
    <row r="12" spans="1:39" x14ac:dyDescent="0.35">
      <c r="A12">
        <v>22</v>
      </c>
      <c r="B12">
        <v>7.3648999999999996</v>
      </c>
      <c r="C12">
        <f t="shared" si="0"/>
        <v>162.02779999999998</v>
      </c>
      <c r="D12">
        <v>14</v>
      </c>
      <c r="E12">
        <v>21</v>
      </c>
      <c r="F12">
        <f t="shared" si="9"/>
        <v>7.3894000000000002</v>
      </c>
      <c r="G12">
        <f t="shared" si="10"/>
        <v>155.17740000000001</v>
      </c>
      <c r="H12">
        <f t="shared" si="1"/>
        <v>6.8503999999999792</v>
      </c>
      <c r="M12">
        <v>22009970</v>
      </c>
      <c r="N12">
        <v>9.9999999999999995E-7</v>
      </c>
      <c r="O12">
        <f t="shared" si="2"/>
        <v>22.009969999999999</v>
      </c>
      <c r="P12">
        <f t="shared" si="11"/>
        <v>21.008654999999997</v>
      </c>
      <c r="Q12">
        <v>931.49</v>
      </c>
      <c r="R12">
        <v>1.0086649194999999</v>
      </c>
      <c r="S12">
        <f t="shared" si="3"/>
        <v>6.8463765150526958</v>
      </c>
      <c r="T12">
        <v>20</v>
      </c>
      <c r="U12">
        <v>21</v>
      </c>
      <c r="V12">
        <f t="shared" si="12"/>
        <v>155.17740000000001</v>
      </c>
      <c r="W12">
        <v>6709</v>
      </c>
      <c r="X12">
        <v>1E-3</v>
      </c>
      <c r="Y12">
        <f t="shared" si="4"/>
        <v>134.18</v>
      </c>
      <c r="Z12">
        <f t="shared" si="5"/>
        <v>20.997399999999999</v>
      </c>
      <c r="AF12">
        <v>20023370</v>
      </c>
      <c r="AG12">
        <f t="shared" si="13"/>
        <v>21008655</v>
      </c>
      <c r="AH12">
        <v>9.9999999999999995E-7</v>
      </c>
      <c r="AI12">
        <f t="shared" si="6"/>
        <v>20.02337</v>
      </c>
      <c r="AJ12">
        <f t="shared" si="7"/>
        <v>21.008654999999997</v>
      </c>
      <c r="AK12">
        <v>931.49</v>
      </c>
      <c r="AL12">
        <v>1.007825</v>
      </c>
      <c r="AM12">
        <f t="shared" si="8"/>
        <v>20.995784600002693</v>
      </c>
    </row>
    <row r="13" spans="1:39" x14ac:dyDescent="0.35">
      <c r="A13">
        <v>23</v>
      </c>
      <c r="B13">
        <v>7.1630000000000003</v>
      </c>
      <c r="C13">
        <f t="shared" si="0"/>
        <v>164.749</v>
      </c>
      <c r="D13">
        <v>15</v>
      </c>
      <c r="E13">
        <v>22</v>
      </c>
      <c r="F13">
        <f t="shared" si="9"/>
        <v>7.3648999999999996</v>
      </c>
      <c r="G13">
        <f t="shared" si="10"/>
        <v>162.02779999999998</v>
      </c>
      <c r="H13">
        <f t="shared" si="1"/>
        <v>2.7212000000000103</v>
      </c>
      <c r="M13">
        <v>23015700</v>
      </c>
      <c r="N13">
        <v>9.9999999999999995E-7</v>
      </c>
      <c r="O13">
        <f t="shared" si="2"/>
        <v>23.015699999999999</v>
      </c>
      <c r="P13">
        <f t="shared" si="11"/>
        <v>22.009969999999999</v>
      </c>
      <c r="Q13">
        <v>931.49</v>
      </c>
      <c r="R13">
        <v>1.0086649194999999</v>
      </c>
      <c r="S13">
        <f t="shared" si="3"/>
        <v>2.733848165054503</v>
      </c>
      <c r="T13">
        <v>21</v>
      </c>
      <c r="U13">
        <v>22</v>
      </c>
      <c r="V13">
        <f t="shared" si="12"/>
        <v>162.02779999999998</v>
      </c>
      <c r="W13">
        <v>6609</v>
      </c>
      <c r="X13">
        <v>1E-3</v>
      </c>
      <c r="Y13">
        <f t="shared" si="4"/>
        <v>138.78900000000002</v>
      </c>
      <c r="Z13">
        <f t="shared" si="5"/>
        <v>23.238799999999969</v>
      </c>
      <c r="AF13">
        <v>21027090</v>
      </c>
      <c r="AG13">
        <f t="shared" si="13"/>
        <v>22009970</v>
      </c>
      <c r="AH13">
        <v>9.9999999999999995E-7</v>
      </c>
      <c r="AI13">
        <f t="shared" si="6"/>
        <v>21.027089999999998</v>
      </c>
      <c r="AJ13">
        <f t="shared" si="7"/>
        <v>22.009969999999999</v>
      </c>
      <c r="AK13">
        <v>931.49</v>
      </c>
      <c r="AL13">
        <v>1.007825</v>
      </c>
      <c r="AM13">
        <f t="shared" si="8"/>
        <v>23.236018049998961</v>
      </c>
    </row>
    <row r="14" spans="1:39" x14ac:dyDescent="0.35">
      <c r="A14">
        <v>24</v>
      </c>
      <c r="B14">
        <v>7.04</v>
      </c>
      <c r="C14">
        <f t="shared" si="0"/>
        <v>168.96</v>
      </c>
      <c r="D14">
        <v>16</v>
      </c>
      <c r="E14">
        <v>23</v>
      </c>
      <c r="F14">
        <f t="shared" si="9"/>
        <v>7.1630000000000003</v>
      </c>
      <c r="G14">
        <f t="shared" si="10"/>
        <v>164.749</v>
      </c>
      <c r="H14">
        <f t="shared" si="1"/>
        <v>4.2110000000000127</v>
      </c>
      <c r="M14">
        <v>24019860</v>
      </c>
      <c r="N14">
        <v>9.9999999999999995E-7</v>
      </c>
      <c r="O14">
        <f t="shared" si="2"/>
        <v>24.019859999999998</v>
      </c>
      <c r="P14">
        <f t="shared" si="11"/>
        <v>23.015699999999999</v>
      </c>
      <c r="Q14">
        <v>931.49</v>
      </c>
      <c r="R14">
        <v>1.0086649194999999</v>
      </c>
      <c r="S14">
        <f t="shared" si="3"/>
        <v>4.1962874650553967</v>
      </c>
      <c r="T14">
        <v>22</v>
      </c>
      <c r="U14">
        <v>23</v>
      </c>
      <c r="V14">
        <f t="shared" si="12"/>
        <v>164.749</v>
      </c>
      <c r="W14">
        <v>6379</v>
      </c>
      <c r="X14">
        <v>1E-3</v>
      </c>
      <c r="Y14">
        <f t="shared" si="4"/>
        <v>140.33799999999999</v>
      </c>
      <c r="Z14">
        <f t="shared" si="5"/>
        <v>24.411000000000001</v>
      </c>
      <c r="AF14">
        <v>22034100</v>
      </c>
      <c r="AG14">
        <f t="shared" si="13"/>
        <v>23015700</v>
      </c>
      <c r="AH14">
        <v>9.9999999999999995E-7</v>
      </c>
      <c r="AI14">
        <f t="shared" si="6"/>
        <v>22.034099999999999</v>
      </c>
      <c r="AJ14">
        <f t="shared" si="7"/>
        <v>23.015699999999999</v>
      </c>
      <c r="AK14">
        <v>931.49</v>
      </c>
      <c r="AL14">
        <v>1.007825</v>
      </c>
      <c r="AM14">
        <f t="shared" si="8"/>
        <v>24.428325250000153</v>
      </c>
    </row>
    <row r="15" spans="1:39" x14ac:dyDescent="0.35">
      <c r="A15">
        <v>25</v>
      </c>
      <c r="B15">
        <v>6.7279999999999998</v>
      </c>
      <c r="C15">
        <f t="shared" si="0"/>
        <v>168.2</v>
      </c>
      <c r="D15">
        <v>17</v>
      </c>
      <c r="E15">
        <v>24</v>
      </c>
      <c r="F15">
        <f t="shared" si="9"/>
        <v>7.04</v>
      </c>
      <c r="G15">
        <f t="shared" si="10"/>
        <v>168.96</v>
      </c>
      <c r="H15">
        <f t="shared" si="1"/>
        <v>-0.76000000000001933</v>
      </c>
      <c r="M15">
        <v>25029340</v>
      </c>
      <c r="N15">
        <v>9.9999999999999995E-7</v>
      </c>
      <c r="O15">
        <f t="shared" si="2"/>
        <v>25.029339999999998</v>
      </c>
      <c r="P15">
        <f t="shared" si="11"/>
        <v>24.019859999999998</v>
      </c>
      <c r="Q15">
        <v>931.49</v>
      </c>
      <c r="R15">
        <v>1.0086649194999999</v>
      </c>
      <c r="S15">
        <f t="shared" si="3"/>
        <v>-0.75923933494562923</v>
      </c>
      <c r="T15">
        <v>23</v>
      </c>
      <c r="U15">
        <v>24</v>
      </c>
      <c r="V15">
        <f t="shared" si="12"/>
        <v>168.96</v>
      </c>
      <c r="W15">
        <v>6237</v>
      </c>
      <c r="X15">
        <v>1E-3</v>
      </c>
      <c r="Y15">
        <f t="shared" si="4"/>
        <v>143.45099999999999</v>
      </c>
      <c r="Z15">
        <f t="shared" si="5"/>
        <v>25.509000000000015</v>
      </c>
      <c r="AF15">
        <v>23039420</v>
      </c>
      <c r="AG15">
        <f t="shared" si="13"/>
        <v>24019860</v>
      </c>
      <c r="AH15">
        <v>9.9999999999999995E-7</v>
      </c>
      <c r="AI15">
        <f t="shared" si="6"/>
        <v>23.03942</v>
      </c>
      <c r="AJ15">
        <f t="shared" si="7"/>
        <v>24.019859999999998</v>
      </c>
      <c r="AK15">
        <v>931.49</v>
      </c>
      <c r="AL15">
        <v>1.007825</v>
      </c>
      <c r="AM15">
        <f t="shared" si="8"/>
        <v>25.508853650002269</v>
      </c>
    </row>
    <row r="16" spans="1:39" x14ac:dyDescent="0.35">
      <c r="A16">
        <v>26</v>
      </c>
      <c r="B16">
        <v>6.4969999999999999</v>
      </c>
      <c r="C16">
        <f t="shared" si="0"/>
        <v>168.922</v>
      </c>
      <c r="D16">
        <v>18</v>
      </c>
      <c r="E16">
        <v>25</v>
      </c>
      <c r="F16">
        <f t="shared" si="9"/>
        <v>6.7279999999999998</v>
      </c>
      <c r="G16">
        <f t="shared" si="10"/>
        <v>168.2</v>
      </c>
      <c r="H16">
        <f t="shared" si="1"/>
        <v>0.72200000000000841</v>
      </c>
      <c r="M16">
        <v>26037210</v>
      </c>
      <c r="N16">
        <v>9.9999999999999995E-7</v>
      </c>
      <c r="O16">
        <f t="shared" si="2"/>
        <v>26.037209999999998</v>
      </c>
      <c r="P16">
        <f t="shared" si="11"/>
        <v>25.029339999999998</v>
      </c>
      <c r="Q16">
        <v>931.49</v>
      </c>
      <c r="R16">
        <v>1.0086649194999999</v>
      </c>
      <c r="S16">
        <f t="shared" si="3"/>
        <v>0.74045956505385391</v>
      </c>
      <c r="T16">
        <v>24</v>
      </c>
      <c r="U16">
        <v>25</v>
      </c>
      <c r="V16">
        <f t="shared" si="12"/>
        <v>168.2</v>
      </c>
      <c r="W16">
        <v>5887</v>
      </c>
      <c r="X16">
        <v>1E-3</v>
      </c>
      <c r="Y16">
        <f t="shared" si="4"/>
        <v>141.28800000000001</v>
      </c>
      <c r="Z16">
        <f t="shared" si="5"/>
        <v>26.911999999999978</v>
      </c>
      <c r="AF16">
        <v>24050390</v>
      </c>
      <c r="AG16">
        <f t="shared" si="13"/>
        <v>25029340</v>
      </c>
      <c r="AH16">
        <v>9.9999999999999995E-7</v>
      </c>
      <c r="AI16">
        <f t="shared" si="6"/>
        <v>24.05039</v>
      </c>
      <c r="AJ16">
        <f t="shared" si="7"/>
        <v>25.029339999999998</v>
      </c>
      <c r="AK16">
        <v>931.49</v>
      </c>
      <c r="AL16">
        <v>1.007825</v>
      </c>
      <c r="AM16">
        <f t="shared" si="8"/>
        <v>26.896773750002673</v>
      </c>
    </row>
    <row r="17" spans="1:39" x14ac:dyDescent="0.35">
      <c r="A17">
        <v>27</v>
      </c>
      <c r="B17">
        <v>6.1849999999999996</v>
      </c>
      <c r="C17">
        <f t="shared" si="0"/>
        <v>166.99499999999998</v>
      </c>
      <c r="D17">
        <v>19</v>
      </c>
      <c r="E17">
        <v>26</v>
      </c>
      <c r="F17">
        <f t="shared" si="9"/>
        <v>6.4969999999999999</v>
      </c>
      <c r="G17">
        <f t="shared" si="10"/>
        <v>168.922</v>
      </c>
      <c r="H17">
        <f t="shared" si="1"/>
        <v>-1.9270000000000209</v>
      </c>
      <c r="M17">
        <v>27047960</v>
      </c>
      <c r="N17">
        <v>9.9999999999999995E-7</v>
      </c>
      <c r="O17">
        <f t="shared" si="2"/>
        <v>27.04796</v>
      </c>
      <c r="P17">
        <f t="shared" si="11"/>
        <v>26.037209999999998</v>
      </c>
      <c r="Q17">
        <v>931.49</v>
      </c>
      <c r="R17">
        <v>1.0086649194999999</v>
      </c>
      <c r="S17">
        <f t="shared" si="3"/>
        <v>-1.9422316349471744</v>
      </c>
      <c r="T17">
        <v>25</v>
      </c>
      <c r="U17">
        <v>26</v>
      </c>
      <c r="V17">
        <f t="shared" si="12"/>
        <v>168.922</v>
      </c>
      <c r="W17">
        <v>5613</v>
      </c>
      <c r="X17">
        <v>1E-3</v>
      </c>
      <c r="Y17">
        <f t="shared" si="4"/>
        <v>140.32500000000002</v>
      </c>
      <c r="Z17">
        <f t="shared" si="5"/>
        <v>28.59699999999998</v>
      </c>
      <c r="AF17">
        <v>25060100</v>
      </c>
      <c r="AG17">
        <f t="shared" si="13"/>
        <v>26037210</v>
      </c>
      <c r="AH17">
        <v>9.9999999999999995E-7</v>
      </c>
      <c r="AI17">
        <f t="shared" si="6"/>
        <v>25.060099999999998</v>
      </c>
      <c r="AJ17">
        <f t="shared" si="7"/>
        <v>26.037209999999998</v>
      </c>
      <c r="AK17">
        <v>931.49</v>
      </c>
      <c r="AL17">
        <v>1.007825</v>
      </c>
      <c r="AM17">
        <f t="shared" si="8"/>
        <v>28.610715350000664</v>
      </c>
    </row>
    <row r="18" spans="1:39" x14ac:dyDescent="0.35">
      <c r="A18">
        <v>28</v>
      </c>
      <c r="B18">
        <v>5.9880000000000004</v>
      </c>
      <c r="C18">
        <f t="shared" si="0"/>
        <v>167.66400000000002</v>
      </c>
      <c r="D18">
        <v>20</v>
      </c>
      <c r="E18">
        <v>27</v>
      </c>
      <c r="F18">
        <f t="shared" si="9"/>
        <v>6.1849999999999996</v>
      </c>
      <c r="G18">
        <f t="shared" si="10"/>
        <v>166.99499999999998</v>
      </c>
      <c r="H18">
        <f t="shared" si="1"/>
        <v>0.66900000000003956</v>
      </c>
      <c r="M18">
        <v>28055910</v>
      </c>
      <c r="N18">
        <v>9.9999999999999995E-7</v>
      </c>
      <c r="O18">
        <f t="shared" si="2"/>
        <v>28.055909999999997</v>
      </c>
      <c r="P18">
        <f t="shared" si="11"/>
        <v>27.04796</v>
      </c>
      <c r="Q18">
        <v>931.49</v>
      </c>
      <c r="R18">
        <v>1.0086649194999999</v>
      </c>
      <c r="S18">
        <f t="shared" si="3"/>
        <v>0.66594036505667509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6960-DA8F-4C6C-90FF-C8D71331370D}">
  <dimension ref="A1:AR29"/>
  <sheetViews>
    <sheetView zoomScale="49" workbookViewId="0">
      <selection activeCell="K14" sqref="K14"/>
    </sheetView>
  </sheetViews>
  <sheetFormatPr defaultRowHeight="14.5" x14ac:dyDescent="0.35"/>
  <cols>
    <col min="14" max="14" width="10.90625" bestFit="1" customWidth="1"/>
    <col min="28" max="28" width="12.90625" customWidth="1"/>
    <col min="37" max="37" width="10.90625" bestFit="1" customWidth="1"/>
    <col min="40" max="40" width="10.08984375" customWidth="1"/>
  </cols>
  <sheetData>
    <row r="1" spans="1:44" x14ac:dyDescent="0.35">
      <c r="A1" t="s">
        <v>1</v>
      </c>
      <c r="B1" t="s">
        <v>2</v>
      </c>
      <c r="C1" t="s">
        <v>3</v>
      </c>
      <c r="E1" t="s">
        <v>4</v>
      </c>
      <c r="F1" t="s">
        <v>2</v>
      </c>
      <c r="G1" t="s">
        <v>3</v>
      </c>
      <c r="I1" t="s">
        <v>6</v>
      </c>
      <c r="M1" t="s">
        <v>16</v>
      </c>
      <c r="N1" t="s">
        <v>20</v>
      </c>
      <c r="O1" t="s">
        <v>23</v>
      </c>
      <c r="P1" t="s">
        <v>27</v>
      </c>
      <c r="Q1" t="s">
        <v>25</v>
      </c>
      <c r="R1" t="s">
        <v>28</v>
      </c>
      <c r="S1" t="s">
        <v>21</v>
      </c>
      <c r="T1" t="s">
        <v>14</v>
      </c>
      <c r="Y1" t="s">
        <v>37</v>
      </c>
      <c r="Z1" t="s">
        <v>48</v>
      </c>
      <c r="AA1" t="s">
        <v>42</v>
      </c>
      <c r="AB1" t="s">
        <v>49</v>
      </c>
      <c r="AC1" t="s">
        <v>33</v>
      </c>
      <c r="AD1" t="s">
        <v>35</v>
      </c>
      <c r="AJ1" t="s">
        <v>1</v>
      </c>
      <c r="AK1" t="s">
        <v>40</v>
      </c>
      <c r="AL1" t="s">
        <v>39</v>
      </c>
      <c r="AM1" t="s">
        <v>46</v>
      </c>
      <c r="AN1" t="s">
        <v>41</v>
      </c>
      <c r="AO1" t="s">
        <v>50</v>
      </c>
      <c r="AP1" t="s">
        <v>47</v>
      </c>
      <c r="AQ1" t="s">
        <v>18</v>
      </c>
      <c r="AR1" t="s">
        <v>35</v>
      </c>
    </row>
    <row r="2" spans="1:44" x14ac:dyDescent="0.35">
      <c r="A2">
        <v>34</v>
      </c>
      <c r="B2">
        <v>7.173</v>
      </c>
      <c r="C2">
        <f>A2*B2</f>
        <v>243.88200000000001</v>
      </c>
      <c r="E2">
        <v>33</v>
      </c>
      <c r="F2">
        <v>6.657</v>
      </c>
      <c r="G2">
        <f>E2*F2</f>
        <v>219.68100000000001</v>
      </c>
      <c r="I2">
        <f>C2-G2</f>
        <v>24.200999999999993</v>
      </c>
      <c r="M2">
        <v>14</v>
      </c>
      <c r="N2">
        <v>34015990</v>
      </c>
      <c r="O2">
        <v>9.9999999999999995E-7</v>
      </c>
      <c r="P2">
        <f>N2*O2</f>
        <v>34.015989999999995</v>
      </c>
      <c r="Q2">
        <v>33.03331</v>
      </c>
      <c r="R2">
        <v>1.0086649194999999</v>
      </c>
      <c r="S2">
        <v>931.49</v>
      </c>
      <c r="T2">
        <f>(Q2-P2+R2)*S2</f>
        <v>24.204692665059689</v>
      </c>
      <c r="Y2">
        <v>32</v>
      </c>
      <c r="Z2">
        <v>6920</v>
      </c>
      <c r="AA2">
        <v>1E-3</v>
      </c>
      <c r="AB2">
        <f>AA2*Z2*Y2</f>
        <v>221.44</v>
      </c>
      <c r="AC2">
        <v>219.68100000000001</v>
      </c>
      <c r="AD2">
        <f>AC2-AB2</f>
        <v>-1.7589999999999861</v>
      </c>
      <c r="AJ2">
        <v>33</v>
      </c>
      <c r="AK2">
        <v>32023610</v>
      </c>
      <c r="AL2">
        <v>33033310</v>
      </c>
      <c r="AM2">
        <v>9.9999999999999995E-7</v>
      </c>
      <c r="AN2">
        <f>AK2*AM2</f>
        <v>32.023609999999998</v>
      </c>
      <c r="AO2">
        <f>AL2*AM2</f>
        <v>33.03331</v>
      </c>
      <c r="AP2">
        <v>1.007825</v>
      </c>
      <c r="AQ2">
        <v>931.49</v>
      </c>
      <c r="AR2">
        <f>(AN2+AP2-AO2)*AQ2</f>
        <v>-1.7465437500050303</v>
      </c>
    </row>
    <row r="3" spans="1:44" x14ac:dyDescent="0.35">
      <c r="A3">
        <v>35</v>
      </c>
      <c r="B3">
        <v>7.476</v>
      </c>
      <c r="C3">
        <f t="shared" ref="C3:C29" si="0">A3*B3</f>
        <v>261.66000000000003</v>
      </c>
      <c r="E3">
        <v>34</v>
      </c>
      <c r="F3">
        <f>B2</f>
        <v>7.173</v>
      </c>
      <c r="G3">
        <f t="shared" ref="G3:G29" si="1">E3*F3</f>
        <v>243.88200000000001</v>
      </c>
      <c r="I3">
        <f t="shared" ref="I3:I29" si="2">C3-G3</f>
        <v>17.77800000000002</v>
      </c>
      <c r="M3">
        <v>15</v>
      </c>
      <c r="N3">
        <v>35005570</v>
      </c>
      <c r="O3">
        <v>9.9999999999999995E-7</v>
      </c>
      <c r="P3">
        <f>N3*O3</f>
        <v>35.005569999999999</v>
      </c>
      <c r="Q3">
        <f>P2</f>
        <v>34.015989999999995</v>
      </c>
      <c r="R3">
        <v>1.0086649194999999</v>
      </c>
      <c r="S3">
        <v>931.49</v>
      </c>
      <c r="T3">
        <f>(Q3-P3+R3)*S3</f>
        <v>17.777411665051503</v>
      </c>
      <c r="Y3">
        <v>33</v>
      </c>
      <c r="Z3">
        <v>7392</v>
      </c>
      <c r="AA3">
        <v>1E-3</v>
      </c>
      <c r="AB3">
        <f t="shared" ref="AB3:AB29" si="3">AA3*Z3*Y3</f>
        <v>243.93600000000001</v>
      </c>
      <c r="AC3">
        <f>C2</f>
        <v>243.88200000000001</v>
      </c>
      <c r="AD3">
        <f t="shared" ref="AD3:AD29" si="4">AC3-AB3</f>
        <v>-5.4000000000002046E-2</v>
      </c>
      <c r="AJ3">
        <v>34</v>
      </c>
      <c r="AK3">
        <v>33008100</v>
      </c>
      <c r="AL3">
        <f>N2</f>
        <v>34015990</v>
      </c>
      <c r="AM3">
        <v>9.9999999999999995E-7</v>
      </c>
      <c r="AN3">
        <f t="shared" ref="AN3:AN29" si="5">AK3*AM3</f>
        <v>33.008099999999999</v>
      </c>
      <c r="AO3">
        <f t="shared" ref="AO3:AO29" si="6">AL3*AM3</f>
        <v>34.015989999999995</v>
      </c>
      <c r="AP3">
        <v>1.007825</v>
      </c>
      <c r="AQ3">
        <v>931.49</v>
      </c>
      <c r="AR3">
        <f t="shared" ref="AR3:AR29" si="7">(AN3+AP3-AO3)*AQ3</f>
        <v>-6.0546849999362495E-2</v>
      </c>
    </row>
    <row r="4" spans="1:44" x14ac:dyDescent="0.35">
      <c r="A4">
        <v>36</v>
      </c>
      <c r="B4">
        <v>7.8159000000000001</v>
      </c>
      <c r="C4">
        <f t="shared" si="0"/>
        <v>281.37240000000003</v>
      </c>
      <c r="E4">
        <v>35</v>
      </c>
      <c r="F4">
        <f t="shared" ref="F4:F29" si="8">B3</f>
        <v>7.476</v>
      </c>
      <c r="G4">
        <f t="shared" si="1"/>
        <v>261.66000000000003</v>
      </c>
      <c r="I4">
        <f t="shared" si="2"/>
        <v>19.712400000000002</v>
      </c>
      <c r="M4">
        <v>16</v>
      </c>
      <c r="N4">
        <v>35993070</v>
      </c>
      <c r="O4">
        <v>9.9999999999999995E-7</v>
      </c>
      <c r="P4">
        <f t="shared" ref="P4:P29" si="9">N4*O4</f>
        <v>35.993069999999996</v>
      </c>
      <c r="Q4">
        <f t="shared" ref="Q4:Q29" si="10">P3</f>
        <v>35.005569999999999</v>
      </c>
      <c r="R4">
        <v>1.0086649194999999</v>
      </c>
      <c r="S4">
        <v>931.49</v>
      </c>
      <c r="T4">
        <f t="shared" ref="T4:T29" si="11">(Q4-P4+R4)*S4</f>
        <v>19.714910865057576</v>
      </c>
      <c r="Y4">
        <v>34</v>
      </c>
      <c r="Z4">
        <v>7670</v>
      </c>
      <c r="AA4">
        <v>1E-3</v>
      </c>
      <c r="AB4">
        <f t="shared" si="3"/>
        <v>260.77999999999997</v>
      </c>
      <c r="AC4">
        <f t="shared" ref="AC4:AC29" si="12">C3</f>
        <v>261.66000000000003</v>
      </c>
      <c r="AD4">
        <f t="shared" si="4"/>
        <v>0.8800000000000523</v>
      </c>
      <c r="AJ4">
        <v>35</v>
      </c>
      <c r="AK4">
        <v>33998690</v>
      </c>
      <c r="AL4">
        <f t="shared" ref="AL4:AL29" si="13">N3</f>
        <v>35005570</v>
      </c>
      <c r="AM4">
        <v>9.9999999999999995E-7</v>
      </c>
      <c r="AN4">
        <f t="shared" si="5"/>
        <v>33.998689999999996</v>
      </c>
      <c r="AO4">
        <f t="shared" si="6"/>
        <v>35.005569999999999</v>
      </c>
      <c r="AP4">
        <v>1.007825</v>
      </c>
      <c r="AQ4">
        <v>931.49</v>
      </c>
      <c r="AR4">
        <f t="shared" si="7"/>
        <v>0.88025804999480461</v>
      </c>
    </row>
    <row r="5" spans="1:44" x14ac:dyDescent="0.35">
      <c r="A5">
        <v>37</v>
      </c>
      <c r="B5">
        <v>8.0034569999999992</v>
      </c>
      <c r="C5">
        <f t="shared" si="0"/>
        <v>296.12790899999999</v>
      </c>
      <c r="E5">
        <v>36</v>
      </c>
      <c r="F5">
        <f t="shared" si="8"/>
        <v>7.8159000000000001</v>
      </c>
      <c r="G5">
        <f t="shared" si="1"/>
        <v>281.37240000000003</v>
      </c>
      <c r="I5">
        <f t="shared" si="2"/>
        <v>14.755508999999961</v>
      </c>
      <c r="M5">
        <v>17</v>
      </c>
      <c r="N5">
        <v>36985897.799999997</v>
      </c>
      <c r="O5">
        <v>9.9999999999999995E-7</v>
      </c>
      <c r="P5">
        <f t="shared" si="9"/>
        <v>36.985897799999996</v>
      </c>
      <c r="Q5">
        <f t="shared" si="10"/>
        <v>35.993069999999996</v>
      </c>
      <c r="R5">
        <v>1.0086649194999999</v>
      </c>
      <c r="S5">
        <v>931.49</v>
      </c>
      <c r="T5">
        <f t="shared" si="11"/>
        <v>14.752118443054377</v>
      </c>
      <c r="Y5">
        <v>35</v>
      </c>
      <c r="Z5">
        <v>7965.8410000000003</v>
      </c>
      <c r="AA5">
        <v>1E-3</v>
      </c>
      <c r="AB5">
        <f t="shared" si="3"/>
        <v>278.80443500000001</v>
      </c>
      <c r="AC5">
        <f t="shared" si="12"/>
        <v>281.37240000000003</v>
      </c>
      <c r="AD5">
        <f t="shared" si="4"/>
        <v>2.5679650000000152</v>
      </c>
      <c r="AJ5">
        <v>36</v>
      </c>
      <c r="AK5">
        <v>34988005.399999999</v>
      </c>
      <c r="AL5">
        <f t="shared" si="13"/>
        <v>35993070</v>
      </c>
      <c r="AM5">
        <v>9.9999999999999995E-7</v>
      </c>
      <c r="AN5">
        <f t="shared" si="5"/>
        <v>34.988005399999999</v>
      </c>
      <c r="AO5">
        <f t="shared" si="6"/>
        <v>35.993069999999996</v>
      </c>
      <c r="AP5">
        <v>1.007825</v>
      </c>
      <c r="AQ5">
        <v>931.49</v>
      </c>
      <c r="AR5">
        <f t="shared" si="7"/>
        <v>2.5712849959996862</v>
      </c>
    </row>
    <row r="6" spans="1:44" x14ac:dyDescent="0.35">
      <c r="A6">
        <v>38</v>
      </c>
      <c r="B6">
        <v>8.240043</v>
      </c>
      <c r="C6">
        <f t="shared" si="0"/>
        <v>313.12163399999997</v>
      </c>
      <c r="E6">
        <v>37</v>
      </c>
      <c r="F6">
        <f t="shared" si="8"/>
        <v>8.0034569999999992</v>
      </c>
      <c r="G6">
        <f t="shared" si="1"/>
        <v>296.12790899999999</v>
      </c>
      <c r="I6">
        <f t="shared" si="2"/>
        <v>16.993724999999984</v>
      </c>
      <c r="M6">
        <v>18</v>
      </c>
      <c r="N6">
        <v>37976319.219999999</v>
      </c>
      <c r="O6">
        <v>9.9999999999999995E-7</v>
      </c>
      <c r="P6">
        <f t="shared" si="9"/>
        <v>37.976319220000001</v>
      </c>
      <c r="Q6">
        <f t="shared" si="10"/>
        <v>36.985897799999996</v>
      </c>
      <c r="R6">
        <v>1.0086649194999999</v>
      </c>
      <c r="S6">
        <v>931.49</v>
      </c>
      <c r="T6">
        <f t="shared" si="11"/>
        <v>16.993637349251106</v>
      </c>
      <c r="Y6">
        <v>36</v>
      </c>
      <c r="Z6">
        <v>8142.223</v>
      </c>
      <c r="AA6">
        <v>1E-3</v>
      </c>
      <c r="AB6">
        <f t="shared" si="3"/>
        <v>293.12002799999999</v>
      </c>
      <c r="AC6">
        <f t="shared" si="12"/>
        <v>296.12790899999999</v>
      </c>
      <c r="AD6">
        <f t="shared" si="4"/>
        <v>3.0078809999999976</v>
      </c>
      <c r="AJ6">
        <v>37</v>
      </c>
      <c r="AK6">
        <v>35981301.899999999</v>
      </c>
      <c r="AL6">
        <f t="shared" si="13"/>
        <v>36985897.799999997</v>
      </c>
      <c r="AM6">
        <v>9.9999999999999995E-7</v>
      </c>
      <c r="AN6">
        <f t="shared" si="5"/>
        <v>35.981301899999998</v>
      </c>
      <c r="AO6">
        <f t="shared" si="6"/>
        <v>36.985897799999996</v>
      </c>
      <c r="AP6">
        <v>1.007825</v>
      </c>
      <c r="AQ6">
        <v>931.49</v>
      </c>
      <c r="AR6">
        <f t="shared" si="7"/>
        <v>3.0078743589987447</v>
      </c>
    </row>
    <row r="7" spans="1:44" x14ac:dyDescent="0.35">
      <c r="A7">
        <v>39</v>
      </c>
      <c r="B7">
        <v>8.3696710000000003</v>
      </c>
      <c r="C7">
        <f t="shared" si="0"/>
        <v>326.417169</v>
      </c>
      <c r="E7">
        <v>38</v>
      </c>
      <c r="F7">
        <f t="shared" si="8"/>
        <v>8.240043</v>
      </c>
      <c r="G7">
        <f t="shared" si="1"/>
        <v>313.12163399999997</v>
      </c>
      <c r="I7">
        <f t="shared" si="2"/>
        <v>13.295535000000029</v>
      </c>
      <c r="M7">
        <v>19</v>
      </c>
      <c r="N7">
        <v>38970710.799999997</v>
      </c>
      <c r="O7">
        <v>9.9999999999999995E-7</v>
      </c>
      <c r="P7">
        <f t="shared" si="9"/>
        <v>38.970710799999992</v>
      </c>
      <c r="Q7">
        <f t="shared" si="10"/>
        <v>37.976319220000001</v>
      </c>
      <c r="R7">
        <v>1.0086649194999999</v>
      </c>
      <c r="S7">
        <v>931.49</v>
      </c>
      <c r="T7">
        <f t="shared" si="11"/>
        <v>13.295473010862946</v>
      </c>
      <c r="Y7">
        <v>37</v>
      </c>
      <c r="Z7">
        <v>8339.848</v>
      </c>
      <c r="AA7">
        <v>1E-3</v>
      </c>
      <c r="AB7">
        <f t="shared" si="3"/>
        <v>308.57437599999997</v>
      </c>
      <c r="AC7">
        <f t="shared" si="12"/>
        <v>313.12163399999997</v>
      </c>
      <c r="AD7">
        <f t="shared" si="4"/>
        <v>4.5472579999999994</v>
      </c>
      <c r="AJ7">
        <v>38</v>
      </c>
      <c r="AK7">
        <v>36973375.890000001</v>
      </c>
      <c r="AL7">
        <f t="shared" si="13"/>
        <v>37976319.219999999</v>
      </c>
      <c r="AM7">
        <v>9.9999999999999995E-7</v>
      </c>
      <c r="AN7">
        <f t="shared" si="5"/>
        <v>36.97337589</v>
      </c>
      <c r="AO7">
        <f t="shared" si="6"/>
        <v>37.976319220000001</v>
      </c>
      <c r="AP7">
        <v>1.007825</v>
      </c>
      <c r="AQ7">
        <v>931.49</v>
      </c>
      <c r="AR7">
        <f t="shared" si="7"/>
        <v>4.5472267882963333</v>
      </c>
    </row>
    <row r="8" spans="1:44" x14ac:dyDescent="0.35">
      <c r="A8">
        <v>40</v>
      </c>
      <c r="B8">
        <v>8.5513049999999993</v>
      </c>
      <c r="C8">
        <f t="shared" si="0"/>
        <v>342.05219999999997</v>
      </c>
      <c r="E8">
        <v>39</v>
      </c>
      <c r="F8">
        <f t="shared" si="8"/>
        <v>8.3696710000000003</v>
      </c>
      <c r="G8">
        <f t="shared" si="1"/>
        <v>326.417169</v>
      </c>
      <c r="I8">
        <f t="shared" si="2"/>
        <v>15.635030999999969</v>
      </c>
      <c r="M8">
        <v>20</v>
      </c>
      <c r="N8">
        <v>39962590.851000004</v>
      </c>
      <c r="O8">
        <v>9.9999999999999995E-7</v>
      </c>
      <c r="P8">
        <f t="shared" si="9"/>
        <v>39.962590851000002</v>
      </c>
      <c r="Q8">
        <f t="shared" si="10"/>
        <v>38.970710799999992</v>
      </c>
      <c r="R8">
        <v>1.0086649194999999</v>
      </c>
      <c r="S8">
        <v>931.49</v>
      </c>
      <c r="T8">
        <f t="shared" si="11"/>
        <v>15.634937159055946</v>
      </c>
      <c r="Y8">
        <v>38</v>
      </c>
      <c r="Z8">
        <v>8438.0589999999993</v>
      </c>
      <c r="AA8">
        <v>1E-3</v>
      </c>
      <c r="AB8">
        <f t="shared" si="3"/>
        <v>320.64624199999997</v>
      </c>
      <c r="AC8">
        <f t="shared" si="12"/>
        <v>326.417169</v>
      </c>
      <c r="AD8">
        <f t="shared" si="4"/>
        <v>5.7709270000000288</v>
      </c>
      <c r="AJ8">
        <v>39</v>
      </c>
      <c r="AK8">
        <v>37969081.109999999</v>
      </c>
      <c r="AL8">
        <f t="shared" si="13"/>
        <v>38970710.799999997</v>
      </c>
      <c r="AM8">
        <v>9.9999999999999995E-7</v>
      </c>
      <c r="AN8">
        <f t="shared" si="5"/>
        <v>37.969081109999998</v>
      </c>
      <c r="AO8">
        <f t="shared" si="6"/>
        <v>38.970710799999992</v>
      </c>
      <c r="AP8">
        <v>1.007825</v>
      </c>
      <c r="AQ8">
        <v>931.49</v>
      </c>
      <c r="AR8">
        <f t="shared" si="7"/>
        <v>5.7708693119023353</v>
      </c>
    </row>
    <row r="9" spans="1:44" x14ac:dyDescent="0.35">
      <c r="A9">
        <v>41</v>
      </c>
      <c r="B9">
        <v>8.5467080000000006</v>
      </c>
      <c r="C9">
        <f t="shared" si="0"/>
        <v>350.41502800000001</v>
      </c>
      <c r="E9">
        <v>40</v>
      </c>
      <c r="F9">
        <f t="shared" si="8"/>
        <v>8.5513049999999993</v>
      </c>
      <c r="G9">
        <f t="shared" si="1"/>
        <v>342.05219999999997</v>
      </c>
      <c r="I9">
        <f t="shared" si="2"/>
        <v>8.3628280000000359</v>
      </c>
      <c r="M9">
        <v>21</v>
      </c>
      <c r="N9">
        <v>40962277.909999996</v>
      </c>
      <c r="O9">
        <v>9.9999999999999995E-7</v>
      </c>
      <c r="P9">
        <f t="shared" si="9"/>
        <v>40.962277909999997</v>
      </c>
      <c r="Q9">
        <f t="shared" si="10"/>
        <v>39.962590851000002</v>
      </c>
      <c r="R9">
        <v>1.0086649194999999</v>
      </c>
      <c r="S9">
        <v>931.49</v>
      </c>
      <c r="T9">
        <f t="shared" si="11"/>
        <v>8.3627872771488683</v>
      </c>
      <c r="Y9">
        <v>39</v>
      </c>
      <c r="Z9">
        <v>8557.0259999999998</v>
      </c>
      <c r="AA9">
        <v>1E-3</v>
      </c>
      <c r="AB9">
        <f t="shared" si="3"/>
        <v>333.72401400000001</v>
      </c>
      <c r="AC9">
        <f t="shared" si="12"/>
        <v>342.05219999999997</v>
      </c>
      <c r="AD9">
        <f t="shared" si="4"/>
        <v>8.3281859999999597</v>
      </c>
      <c r="AJ9">
        <v>40</v>
      </c>
      <c r="AK9">
        <v>38963706.484999999</v>
      </c>
      <c r="AL9">
        <f t="shared" si="13"/>
        <v>39962590.851000004</v>
      </c>
      <c r="AM9">
        <v>9.9999999999999995E-7</v>
      </c>
      <c r="AN9">
        <f t="shared" si="5"/>
        <v>38.963706484999996</v>
      </c>
      <c r="AO9">
        <f t="shared" si="6"/>
        <v>39.962590851000002</v>
      </c>
      <c r="AP9">
        <v>1.007825</v>
      </c>
      <c r="AQ9">
        <v>931.49</v>
      </c>
      <c r="AR9">
        <f t="shared" si="7"/>
        <v>8.3281111646517303</v>
      </c>
    </row>
    <row r="10" spans="1:44" x14ac:dyDescent="0.35">
      <c r="A10">
        <v>42</v>
      </c>
      <c r="B10">
        <v>8.6165649999999996</v>
      </c>
      <c r="C10">
        <f t="shared" si="0"/>
        <v>361.89572999999996</v>
      </c>
      <c r="E10">
        <v>41</v>
      </c>
      <c r="F10">
        <f t="shared" si="8"/>
        <v>8.5467080000000006</v>
      </c>
      <c r="G10">
        <f t="shared" si="1"/>
        <v>350.41502800000001</v>
      </c>
      <c r="I10">
        <f t="shared" si="2"/>
        <v>11.480701999999951</v>
      </c>
      <c r="M10">
        <v>22</v>
      </c>
      <c r="N10">
        <v>41958617.780000001</v>
      </c>
      <c r="O10">
        <v>9.9999999999999995E-7</v>
      </c>
      <c r="P10">
        <f t="shared" si="9"/>
        <v>41.958617779999997</v>
      </c>
      <c r="Q10">
        <f t="shared" si="10"/>
        <v>40.962277909999997</v>
      </c>
      <c r="R10">
        <v>1.0086649194999999</v>
      </c>
      <c r="S10">
        <v>931.49</v>
      </c>
      <c r="T10">
        <f t="shared" si="11"/>
        <v>11.480660358755017</v>
      </c>
      <c r="Y10">
        <v>40</v>
      </c>
      <c r="Z10">
        <v>8538.0910000000003</v>
      </c>
      <c r="AA10">
        <v>1E-3</v>
      </c>
      <c r="AB10">
        <f t="shared" si="3"/>
        <v>341.52364</v>
      </c>
      <c r="AC10">
        <f t="shared" si="12"/>
        <v>350.41502800000001</v>
      </c>
      <c r="AD10">
        <f t="shared" si="4"/>
        <v>8.8913880000000063</v>
      </c>
      <c r="AJ10">
        <v>41</v>
      </c>
      <c r="AK10">
        <v>39963998.170000002</v>
      </c>
      <c r="AL10">
        <f t="shared" si="13"/>
        <v>40962277.909999996</v>
      </c>
      <c r="AM10">
        <v>9.9999999999999995E-7</v>
      </c>
      <c r="AN10">
        <f t="shared" si="5"/>
        <v>39.963998169999996</v>
      </c>
      <c r="AO10">
        <f t="shared" si="6"/>
        <v>40.962277909999997</v>
      </c>
      <c r="AP10">
        <v>1.007825</v>
      </c>
      <c r="AQ10">
        <v>931.49</v>
      </c>
      <c r="AR10">
        <f t="shared" si="7"/>
        <v>8.8913142373961733</v>
      </c>
    </row>
    <row r="11" spans="1:44" x14ac:dyDescent="0.35">
      <c r="A11">
        <v>43</v>
      </c>
      <c r="B11">
        <v>8.6006649999999993</v>
      </c>
      <c r="C11">
        <f t="shared" si="0"/>
        <v>369.82859499999995</v>
      </c>
      <c r="E11">
        <v>42</v>
      </c>
      <c r="F11">
        <f t="shared" si="8"/>
        <v>8.6165649999999996</v>
      </c>
      <c r="G11">
        <f t="shared" si="1"/>
        <v>361.89572999999996</v>
      </c>
      <c r="I11">
        <f t="shared" si="2"/>
        <v>7.9328649999999925</v>
      </c>
      <c r="M11">
        <v>23</v>
      </c>
      <c r="N11">
        <v>42958766.380000003</v>
      </c>
      <c r="O11">
        <v>9.9999999999999995E-7</v>
      </c>
      <c r="P11">
        <f t="shared" si="9"/>
        <v>42.95876638</v>
      </c>
      <c r="Q11">
        <f t="shared" si="10"/>
        <v>41.958617779999997</v>
      </c>
      <c r="R11">
        <v>1.0086649194999999</v>
      </c>
      <c r="S11">
        <v>931.49</v>
      </c>
      <c r="T11">
        <f t="shared" si="11"/>
        <v>7.932866451052293</v>
      </c>
      <c r="Y11">
        <v>41</v>
      </c>
      <c r="Z11">
        <v>8576.0730000000003</v>
      </c>
      <c r="AA11">
        <v>1E-3</v>
      </c>
      <c r="AB11">
        <f t="shared" si="3"/>
        <v>351.61899300000005</v>
      </c>
      <c r="AC11">
        <f t="shared" si="12"/>
        <v>361.89572999999996</v>
      </c>
      <c r="AD11">
        <f t="shared" si="4"/>
        <v>10.276736999999912</v>
      </c>
      <c r="AJ11">
        <v>42</v>
      </c>
      <c r="AK11">
        <v>40961825.255999997</v>
      </c>
      <c r="AL11">
        <f t="shared" si="13"/>
        <v>41958617.780000001</v>
      </c>
      <c r="AM11">
        <v>9.9999999999999995E-7</v>
      </c>
      <c r="AN11">
        <f t="shared" si="5"/>
        <v>40.961825255999997</v>
      </c>
      <c r="AO11">
        <f t="shared" si="6"/>
        <v>41.958617779999997</v>
      </c>
      <c r="AP11">
        <v>1.007825</v>
      </c>
      <c r="AQ11">
        <v>931.49</v>
      </c>
      <c r="AR11">
        <f t="shared" si="7"/>
        <v>10.276641069237117</v>
      </c>
    </row>
    <row r="12" spans="1:44" x14ac:dyDescent="0.35">
      <c r="A12">
        <v>44</v>
      </c>
      <c r="B12">
        <v>8.6581770000000002</v>
      </c>
      <c r="C12">
        <f t="shared" si="0"/>
        <v>380.959788</v>
      </c>
      <c r="E12">
        <v>43</v>
      </c>
      <c r="F12">
        <f t="shared" si="8"/>
        <v>8.6006649999999993</v>
      </c>
      <c r="G12">
        <f t="shared" si="1"/>
        <v>369.82859499999995</v>
      </c>
      <c r="I12">
        <f t="shared" si="2"/>
        <v>11.131193000000053</v>
      </c>
      <c r="M12">
        <v>24</v>
      </c>
      <c r="N12">
        <v>43955481.5</v>
      </c>
      <c r="O12">
        <v>9.9999999999999995E-7</v>
      </c>
      <c r="P12">
        <f t="shared" si="9"/>
        <v>43.955481499999998</v>
      </c>
      <c r="Q12">
        <f t="shared" si="10"/>
        <v>42.95876638</v>
      </c>
      <c r="R12">
        <v>1.0086649194999999</v>
      </c>
      <c r="S12">
        <v>931.49</v>
      </c>
      <c r="T12">
        <f t="shared" si="11"/>
        <v>11.131118736257246</v>
      </c>
      <c r="Y12">
        <v>42</v>
      </c>
      <c r="Z12">
        <v>8551.2569999999996</v>
      </c>
      <c r="AA12">
        <v>1E-3</v>
      </c>
      <c r="AB12">
        <f t="shared" si="3"/>
        <v>359.15279399999997</v>
      </c>
      <c r="AC12">
        <f t="shared" si="12"/>
        <v>369.82859499999995</v>
      </c>
      <c r="AD12">
        <f t="shared" si="4"/>
        <v>10.675800999999979</v>
      </c>
      <c r="AJ12">
        <v>43</v>
      </c>
      <c r="AK12">
        <v>41962402.310000002</v>
      </c>
      <c r="AL12">
        <f t="shared" si="13"/>
        <v>42958766.380000003</v>
      </c>
      <c r="AM12">
        <v>9.9999999999999995E-7</v>
      </c>
      <c r="AN12">
        <f t="shared" si="5"/>
        <v>41.962402310000002</v>
      </c>
      <c r="AO12">
        <f t="shared" si="6"/>
        <v>42.95876638</v>
      </c>
      <c r="AP12">
        <v>1.007825</v>
      </c>
      <c r="AQ12">
        <v>931.49</v>
      </c>
      <c r="AR12">
        <f t="shared" si="7"/>
        <v>10.675741685698481</v>
      </c>
    </row>
    <row r="13" spans="1:44" x14ac:dyDescent="0.35">
      <c r="A13">
        <v>45</v>
      </c>
      <c r="B13">
        <v>8.630547</v>
      </c>
      <c r="C13">
        <f t="shared" si="0"/>
        <v>388.37461500000001</v>
      </c>
      <c r="E13">
        <v>44</v>
      </c>
      <c r="F13">
        <f t="shared" si="8"/>
        <v>8.6581770000000002</v>
      </c>
      <c r="G13">
        <f t="shared" si="1"/>
        <v>380.959788</v>
      </c>
      <c r="I13">
        <f t="shared" si="2"/>
        <v>7.4148270000000025</v>
      </c>
      <c r="M13">
        <v>25</v>
      </c>
      <c r="N13">
        <v>44956186.299999997</v>
      </c>
      <c r="O13">
        <v>9.9999999999999995E-7</v>
      </c>
      <c r="P13">
        <f t="shared" si="9"/>
        <v>44.956186299999992</v>
      </c>
      <c r="Q13">
        <f t="shared" si="10"/>
        <v>43.955481499999998</v>
      </c>
      <c r="R13">
        <v>1.0086649194999999</v>
      </c>
      <c r="S13">
        <v>931.49</v>
      </c>
      <c r="T13">
        <f t="shared" si="11"/>
        <v>7.4147717130604569</v>
      </c>
      <c r="Y13">
        <v>43</v>
      </c>
      <c r="Z13">
        <v>8576.2199999999993</v>
      </c>
      <c r="AA13">
        <v>1E-3</v>
      </c>
      <c r="AB13">
        <f t="shared" si="3"/>
        <v>368.77745999999996</v>
      </c>
      <c r="AC13">
        <f t="shared" si="12"/>
        <v>380.959788</v>
      </c>
      <c r="AD13">
        <f t="shared" si="4"/>
        <v>12.182328000000041</v>
      </c>
      <c r="AJ13">
        <v>44</v>
      </c>
      <c r="AK13">
        <v>42960734.700000003</v>
      </c>
      <c r="AL13">
        <f t="shared" si="13"/>
        <v>43955481.5</v>
      </c>
      <c r="AM13">
        <v>9.9999999999999995E-7</v>
      </c>
      <c r="AN13">
        <f t="shared" si="5"/>
        <v>42.960734700000003</v>
      </c>
      <c r="AO13">
        <f t="shared" si="6"/>
        <v>43.955481499999998</v>
      </c>
      <c r="AP13">
        <v>1.007825</v>
      </c>
      <c r="AQ13">
        <v>931.49</v>
      </c>
      <c r="AR13">
        <f t="shared" si="7"/>
        <v>12.182212518002313</v>
      </c>
    </row>
    <row r="14" spans="1:44" x14ac:dyDescent="0.35">
      <c r="A14">
        <v>46</v>
      </c>
      <c r="B14">
        <v>8.6689799999999995</v>
      </c>
      <c r="C14">
        <f t="shared" si="0"/>
        <v>398.77307999999999</v>
      </c>
      <c r="E14">
        <v>45</v>
      </c>
      <c r="F14">
        <f t="shared" si="8"/>
        <v>8.630547</v>
      </c>
      <c r="G14">
        <f t="shared" si="1"/>
        <v>388.37461500000001</v>
      </c>
      <c r="I14">
        <f t="shared" si="2"/>
        <v>10.398464999999987</v>
      </c>
      <c r="M14">
        <v>26</v>
      </c>
      <c r="N14">
        <v>45953687.700000003</v>
      </c>
      <c r="O14">
        <v>9.9999999999999995E-7</v>
      </c>
      <c r="P14">
        <f t="shared" si="9"/>
        <v>45.953687700000003</v>
      </c>
      <c r="Q14">
        <f t="shared" si="10"/>
        <v>44.956186299999992</v>
      </c>
      <c r="R14">
        <v>1.0086649194999999</v>
      </c>
      <c r="S14">
        <v>931.49</v>
      </c>
      <c r="T14">
        <f t="shared" si="11"/>
        <v>10.39870677904419</v>
      </c>
      <c r="Y14">
        <v>44</v>
      </c>
      <c r="Z14">
        <v>8546.7019999999993</v>
      </c>
      <c r="AA14">
        <v>1E-3</v>
      </c>
      <c r="AB14">
        <f t="shared" si="3"/>
        <v>376.05488800000001</v>
      </c>
      <c r="AC14">
        <f t="shared" si="12"/>
        <v>388.37461500000001</v>
      </c>
      <c r="AD14">
        <f t="shared" si="4"/>
        <v>12.319727</v>
      </c>
      <c r="AJ14">
        <v>45</v>
      </c>
      <c r="AK14">
        <v>43961587</v>
      </c>
      <c r="AL14">
        <f t="shared" si="13"/>
        <v>44956186.299999997</v>
      </c>
      <c r="AM14">
        <v>9.9999999999999995E-7</v>
      </c>
      <c r="AN14">
        <f t="shared" si="5"/>
        <v>43.961587000000002</v>
      </c>
      <c r="AO14">
        <f t="shared" si="6"/>
        <v>44.956186299999992</v>
      </c>
      <c r="AP14">
        <v>1.007825</v>
      </c>
      <c r="AQ14">
        <v>931.49</v>
      </c>
      <c r="AR14">
        <f t="shared" si="7"/>
        <v>12.319607293006211</v>
      </c>
    </row>
    <row r="15" spans="1:44" x14ac:dyDescent="0.35">
      <c r="A15">
        <v>47</v>
      </c>
      <c r="B15">
        <v>8.6393500000000003</v>
      </c>
      <c r="C15">
        <f t="shared" si="0"/>
        <v>406.04945000000004</v>
      </c>
      <c r="E15">
        <v>46</v>
      </c>
      <c r="F15">
        <f t="shared" si="8"/>
        <v>8.6689799999999995</v>
      </c>
      <c r="G15">
        <f t="shared" si="1"/>
        <v>398.77307999999999</v>
      </c>
      <c r="I15">
        <f t="shared" si="2"/>
        <v>7.2763700000000426</v>
      </c>
      <c r="M15">
        <v>27</v>
      </c>
      <c r="N15">
        <v>46954541.100000001</v>
      </c>
      <c r="O15">
        <v>9.9999999999999995E-7</v>
      </c>
      <c r="P15">
        <f t="shared" si="9"/>
        <v>46.9545411</v>
      </c>
      <c r="Q15">
        <f t="shared" si="10"/>
        <v>45.953687700000003</v>
      </c>
      <c r="R15">
        <v>1.0086649194999999</v>
      </c>
      <c r="S15">
        <v>931.49</v>
      </c>
      <c r="T15">
        <f t="shared" si="11"/>
        <v>7.2763522990578204</v>
      </c>
      <c r="Y15">
        <v>45</v>
      </c>
      <c r="Z15">
        <v>8554.6749999999993</v>
      </c>
      <c r="AA15">
        <v>1E-3</v>
      </c>
      <c r="AB15">
        <f t="shared" si="3"/>
        <v>384.960375</v>
      </c>
      <c r="AC15">
        <f t="shared" si="12"/>
        <v>398.77307999999999</v>
      </c>
      <c r="AD15">
        <f t="shared" si="4"/>
        <v>13.812704999999994</v>
      </c>
      <c r="AJ15">
        <v>46</v>
      </c>
      <c r="AK15">
        <v>44960691.5</v>
      </c>
      <c r="AL15">
        <f t="shared" si="13"/>
        <v>45953687.700000003</v>
      </c>
      <c r="AM15">
        <v>9.9999999999999995E-7</v>
      </c>
      <c r="AN15">
        <f t="shared" si="5"/>
        <v>44.960691499999996</v>
      </c>
      <c r="AO15">
        <f t="shared" si="6"/>
        <v>45.953687700000003</v>
      </c>
      <c r="AP15">
        <v>1.007825</v>
      </c>
      <c r="AQ15">
        <v>931.49</v>
      </c>
      <c r="AR15">
        <f t="shared" si="7"/>
        <v>13.812878911990152</v>
      </c>
    </row>
    <row r="16" spans="1:44" x14ac:dyDescent="0.35">
      <c r="A16">
        <v>48</v>
      </c>
      <c r="B16">
        <v>8.6666919999999994</v>
      </c>
      <c r="C16">
        <f t="shared" si="0"/>
        <v>416.001216</v>
      </c>
      <c r="E16">
        <v>47</v>
      </c>
      <c r="F16">
        <f t="shared" si="8"/>
        <v>8.6393500000000003</v>
      </c>
      <c r="G16">
        <f t="shared" si="1"/>
        <v>406.04945000000004</v>
      </c>
      <c r="I16">
        <f t="shared" si="2"/>
        <v>9.9517659999999637</v>
      </c>
      <c r="M16">
        <v>28</v>
      </c>
      <c r="N16">
        <v>47952522.653999999</v>
      </c>
      <c r="O16">
        <v>9.9999999999999995E-7</v>
      </c>
      <c r="P16">
        <f t="shared" si="9"/>
        <v>47.952522653999999</v>
      </c>
      <c r="Q16">
        <f t="shared" si="10"/>
        <v>46.9545411</v>
      </c>
      <c r="R16">
        <v>1.0086649194999999</v>
      </c>
      <c r="S16">
        <v>931.49</v>
      </c>
      <c r="T16">
        <f t="shared" si="11"/>
        <v>9.9514481295958657</v>
      </c>
      <c r="Y16">
        <v>46</v>
      </c>
      <c r="Z16">
        <v>8518.0429999999997</v>
      </c>
      <c r="AA16">
        <v>1E-3</v>
      </c>
      <c r="AB16">
        <f t="shared" si="3"/>
        <v>391.82997800000004</v>
      </c>
      <c r="AC16">
        <f t="shared" si="12"/>
        <v>406.04945000000004</v>
      </c>
      <c r="AD16">
        <f t="shared" si="4"/>
        <v>14.219471999999996</v>
      </c>
      <c r="AJ16">
        <v>47</v>
      </c>
      <c r="AK16">
        <v>45961981.600000001</v>
      </c>
      <c r="AL16">
        <f t="shared" si="13"/>
        <v>46954541.100000001</v>
      </c>
      <c r="AM16">
        <v>9.9999999999999995E-7</v>
      </c>
      <c r="AN16">
        <f t="shared" si="5"/>
        <v>45.961981600000001</v>
      </c>
      <c r="AO16">
        <f t="shared" si="6"/>
        <v>46.9545411</v>
      </c>
      <c r="AP16">
        <v>1.007825</v>
      </c>
      <c r="AQ16">
        <v>931.49</v>
      </c>
      <c r="AR16">
        <f t="shared" si="7"/>
        <v>14.219660594998283</v>
      </c>
    </row>
    <row r="17" spans="1:44" x14ac:dyDescent="0.35">
      <c r="A17">
        <v>49</v>
      </c>
      <c r="B17">
        <v>8.5948499999999992</v>
      </c>
      <c r="C17">
        <f t="shared" si="0"/>
        <v>421.14764999999994</v>
      </c>
      <c r="E17">
        <v>48</v>
      </c>
      <c r="F17">
        <f t="shared" si="8"/>
        <v>8.6666919999999994</v>
      </c>
      <c r="G17">
        <f t="shared" si="1"/>
        <v>416.001216</v>
      </c>
      <c r="I17">
        <f t="shared" si="2"/>
        <v>5.1464339999999424</v>
      </c>
      <c r="M17">
        <v>29</v>
      </c>
      <c r="N17">
        <v>48955662.630000003</v>
      </c>
      <c r="O17">
        <v>9.9999999999999995E-7</v>
      </c>
      <c r="P17">
        <f t="shared" si="9"/>
        <v>48.955662629999999</v>
      </c>
      <c r="Q17">
        <f t="shared" si="10"/>
        <v>47.952522653999999</v>
      </c>
      <c r="R17">
        <v>1.0086649194999999</v>
      </c>
      <c r="S17">
        <v>931.49</v>
      </c>
      <c r="T17">
        <f t="shared" si="11"/>
        <v>5.1464296208149909</v>
      </c>
      <c r="Y17">
        <v>47</v>
      </c>
      <c r="Z17">
        <v>8514.8799999999992</v>
      </c>
      <c r="AA17">
        <v>1E-3</v>
      </c>
      <c r="AB17">
        <f t="shared" si="3"/>
        <v>400.19936000000001</v>
      </c>
      <c r="AC17">
        <f t="shared" si="12"/>
        <v>416.001216</v>
      </c>
      <c r="AD17">
        <f t="shared" si="4"/>
        <v>15.801855999999987</v>
      </c>
      <c r="AJ17">
        <v>48</v>
      </c>
      <c r="AK17">
        <v>46961661.600000001</v>
      </c>
      <c r="AL17">
        <f t="shared" si="13"/>
        <v>47952522.653999999</v>
      </c>
      <c r="AM17">
        <v>9.9999999999999995E-7</v>
      </c>
      <c r="AN17">
        <f t="shared" si="5"/>
        <v>46.961661599999999</v>
      </c>
      <c r="AO17">
        <f t="shared" si="6"/>
        <v>47.952522653999999</v>
      </c>
      <c r="AP17">
        <v>1.007825</v>
      </c>
      <c r="AQ17">
        <v>931.49</v>
      </c>
      <c r="AR17">
        <f t="shared" si="7"/>
        <v>15.801746059537267</v>
      </c>
    </row>
    <row r="18" spans="1:44" x14ac:dyDescent="0.35">
      <c r="A18">
        <v>50</v>
      </c>
      <c r="B18">
        <v>8.55016</v>
      </c>
      <c r="C18">
        <f t="shared" si="0"/>
        <v>427.50799999999998</v>
      </c>
      <c r="E18">
        <v>49</v>
      </c>
      <c r="F18">
        <f t="shared" si="8"/>
        <v>8.5948499999999992</v>
      </c>
      <c r="G18">
        <f t="shared" si="1"/>
        <v>421.14764999999994</v>
      </c>
      <c r="I18">
        <f t="shared" si="2"/>
        <v>6.3603500000000395</v>
      </c>
      <c r="M18">
        <v>30</v>
      </c>
      <c r="N18">
        <v>49957499.200000003</v>
      </c>
      <c r="O18">
        <v>9.9999999999999995E-7</v>
      </c>
      <c r="P18">
        <f t="shared" si="9"/>
        <v>49.957499200000001</v>
      </c>
      <c r="Q18">
        <f t="shared" si="10"/>
        <v>48.955662629999999</v>
      </c>
      <c r="R18">
        <v>1.0086649194999999</v>
      </c>
      <c r="S18">
        <v>931.49</v>
      </c>
      <c r="T18">
        <f t="shared" si="11"/>
        <v>6.3605392757532391</v>
      </c>
      <c r="Y18">
        <v>48</v>
      </c>
      <c r="Z18">
        <v>8434.232</v>
      </c>
      <c r="AA18">
        <v>1E-3</v>
      </c>
      <c r="AB18">
        <f t="shared" si="3"/>
        <v>404.84313599999996</v>
      </c>
      <c r="AC18">
        <f t="shared" si="12"/>
        <v>421.14764999999994</v>
      </c>
      <c r="AD18">
        <f t="shared" si="4"/>
        <v>16.304513999999983</v>
      </c>
      <c r="AJ18">
        <v>49</v>
      </c>
      <c r="AK18">
        <v>47965341.200000003</v>
      </c>
      <c r="AL18">
        <f t="shared" si="13"/>
        <v>48955662.630000003</v>
      </c>
      <c r="AM18">
        <v>9.9999999999999995E-7</v>
      </c>
      <c r="AN18">
        <f t="shared" si="5"/>
        <v>47.965341199999997</v>
      </c>
      <c r="AO18">
        <f t="shared" si="6"/>
        <v>48.955662629999999</v>
      </c>
      <c r="AP18">
        <v>1.007825</v>
      </c>
      <c r="AQ18">
        <v>931.49</v>
      </c>
      <c r="AR18">
        <f t="shared" si="7"/>
        <v>16.304400419295575</v>
      </c>
    </row>
    <row r="19" spans="1:44" x14ac:dyDescent="0.35">
      <c r="A19">
        <v>51</v>
      </c>
      <c r="B19">
        <v>8.4769140000000007</v>
      </c>
      <c r="C19">
        <f t="shared" si="0"/>
        <v>432.32261400000004</v>
      </c>
      <c r="E19">
        <v>50</v>
      </c>
      <c r="F19">
        <f t="shared" si="8"/>
        <v>8.55016</v>
      </c>
      <c r="G19">
        <f t="shared" si="1"/>
        <v>427.50799999999998</v>
      </c>
      <c r="I19">
        <f t="shared" si="2"/>
        <v>4.8146140000000628</v>
      </c>
      <c r="M19">
        <v>31</v>
      </c>
      <c r="N19">
        <v>50960995.700000003</v>
      </c>
      <c r="O19">
        <v>9.9999999999999995E-7</v>
      </c>
      <c r="P19">
        <f t="shared" si="9"/>
        <v>50.960995699999998</v>
      </c>
      <c r="Q19">
        <f t="shared" si="10"/>
        <v>49.957499200000001</v>
      </c>
      <c r="R19">
        <v>1.0086649194999999</v>
      </c>
      <c r="S19">
        <v>931.49</v>
      </c>
      <c r="T19">
        <f t="shared" si="11"/>
        <v>4.8143310800576051</v>
      </c>
      <c r="Y19">
        <v>49</v>
      </c>
      <c r="Z19">
        <v>8372.2749999999996</v>
      </c>
      <c r="AA19">
        <v>1E-3</v>
      </c>
      <c r="AB19">
        <f t="shared" si="3"/>
        <v>410.24147499999998</v>
      </c>
      <c r="AC19">
        <f t="shared" si="12"/>
        <v>427.50799999999998</v>
      </c>
      <c r="AD19">
        <f t="shared" si="4"/>
        <v>17.266525000000001</v>
      </c>
      <c r="AJ19">
        <v>50</v>
      </c>
      <c r="AK19">
        <v>48968210.799999997</v>
      </c>
      <c r="AL19">
        <f t="shared" si="13"/>
        <v>49957499.200000003</v>
      </c>
      <c r="AM19">
        <v>9.9999999999999995E-7</v>
      </c>
      <c r="AN19">
        <f t="shared" si="5"/>
        <v>48.968210799999994</v>
      </c>
      <c r="AO19">
        <f t="shared" si="6"/>
        <v>49.957499200000001</v>
      </c>
      <c r="AP19">
        <v>1.007825</v>
      </c>
      <c r="AQ19">
        <v>931.49</v>
      </c>
      <c r="AR19">
        <f t="shared" si="7"/>
        <v>17.266657533990912</v>
      </c>
    </row>
    <row r="20" spans="1:44" x14ac:dyDescent="0.35">
      <c r="A20">
        <v>52</v>
      </c>
      <c r="B20">
        <v>8.4293820000000004</v>
      </c>
      <c r="C20">
        <f t="shared" si="0"/>
        <v>438.32786400000003</v>
      </c>
      <c r="E20">
        <v>51</v>
      </c>
      <c r="F20">
        <f t="shared" si="8"/>
        <v>8.4769140000000007</v>
      </c>
      <c r="G20">
        <f t="shared" si="1"/>
        <v>432.32261400000004</v>
      </c>
      <c r="I20">
        <f t="shared" si="2"/>
        <v>6.0052499999999895</v>
      </c>
      <c r="M20">
        <v>32</v>
      </c>
      <c r="N20">
        <v>51963213.600000001</v>
      </c>
      <c r="O20">
        <v>9.9999999999999995E-7</v>
      </c>
      <c r="P20">
        <f t="shared" si="9"/>
        <v>51.963213599999996</v>
      </c>
      <c r="Q20">
        <f t="shared" si="10"/>
        <v>50.960995699999998</v>
      </c>
      <c r="R20">
        <v>1.0086649194999999</v>
      </c>
      <c r="S20">
        <v>931.49</v>
      </c>
      <c r="T20">
        <f t="shared" si="11"/>
        <v>6.005334194056795</v>
      </c>
      <c r="Y20">
        <v>50</v>
      </c>
      <c r="Z20">
        <v>8288.58</v>
      </c>
      <c r="AA20">
        <v>1E-3</v>
      </c>
      <c r="AB20">
        <f t="shared" si="3"/>
        <v>414.42899999999997</v>
      </c>
      <c r="AC20">
        <f t="shared" si="12"/>
        <v>432.32261400000004</v>
      </c>
      <c r="AD20">
        <f t="shared" si="4"/>
        <v>17.893614000000071</v>
      </c>
      <c r="AJ20">
        <v>51</v>
      </c>
      <c r="AK20">
        <v>49972380</v>
      </c>
      <c r="AL20">
        <f t="shared" si="13"/>
        <v>50960995.700000003</v>
      </c>
      <c r="AM20">
        <v>9.9999999999999995E-7</v>
      </c>
      <c r="AN20">
        <f t="shared" si="5"/>
        <v>49.972380000000001</v>
      </c>
      <c r="AO20">
        <f t="shared" si="6"/>
        <v>50.960995699999998</v>
      </c>
      <c r="AP20">
        <v>1.007825</v>
      </c>
      <c r="AQ20">
        <v>931.49</v>
      </c>
      <c r="AR20">
        <f t="shared" si="7"/>
        <v>17.893270856999987</v>
      </c>
    </row>
    <row r="21" spans="1:44" x14ac:dyDescent="0.35">
      <c r="A21">
        <v>53</v>
      </c>
      <c r="B21">
        <v>8.3306000000000004</v>
      </c>
      <c r="C21">
        <f t="shared" si="0"/>
        <v>441.52180000000004</v>
      </c>
      <c r="E21">
        <v>52</v>
      </c>
      <c r="F21">
        <f t="shared" si="8"/>
        <v>8.4293820000000004</v>
      </c>
      <c r="G21">
        <f t="shared" si="1"/>
        <v>438.32786400000003</v>
      </c>
      <c r="I21">
        <f t="shared" si="2"/>
        <v>3.1939360000000079</v>
      </c>
      <c r="M21">
        <v>33</v>
      </c>
      <c r="N21">
        <v>52968450</v>
      </c>
      <c r="O21">
        <v>9.9999999999999995E-7</v>
      </c>
      <c r="P21">
        <f t="shared" si="9"/>
        <v>52.968449999999997</v>
      </c>
      <c r="Q21">
        <f t="shared" si="10"/>
        <v>51.963213599999996</v>
      </c>
      <c r="R21">
        <v>1.0086649194999999</v>
      </c>
      <c r="S21">
        <v>931.49</v>
      </c>
      <c r="T21">
        <f t="shared" si="11"/>
        <v>3.1936316290538667</v>
      </c>
      <c r="Y21">
        <v>51</v>
      </c>
      <c r="Z21">
        <v>8221.33</v>
      </c>
      <c r="AA21">
        <v>1E-3</v>
      </c>
      <c r="AB21">
        <f t="shared" si="3"/>
        <v>419.28782999999999</v>
      </c>
      <c r="AC21">
        <f t="shared" si="12"/>
        <v>438.32786400000003</v>
      </c>
      <c r="AD21">
        <f t="shared" si="4"/>
        <v>19.040034000000048</v>
      </c>
      <c r="AJ21">
        <v>52</v>
      </c>
      <c r="AK21">
        <v>50975829</v>
      </c>
      <c r="AL21">
        <f t="shared" si="13"/>
        <v>51963213.600000001</v>
      </c>
      <c r="AM21">
        <v>9.9999999999999995E-7</v>
      </c>
      <c r="AN21">
        <f t="shared" si="5"/>
        <v>50.975828999999997</v>
      </c>
      <c r="AO21">
        <f t="shared" si="6"/>
        <v>51.963213599999996</v>
      </c>
      <c r="AP21">
        <v>1.007825</v>
      </c>
      <c r="AQ21">
        <v>931.49</v>
      </c>
      <c r="AR21">
        <f t="shared" si="7"/>
        <v>19.040028195998367</v>
      </c>
    </row>
    <row r="22" spans="1:44" x14ac:dyDescent="0.35">
      <c r="A22">
        <v>54</v>
      </c>
      <c r="B22">
        <v>8.2475000000000005</v>
      </c>
      <c r="C22">
        <f t="shared" si="0"/>
        <v>445.36500000000001</v>
      </c>
      <c r="E22">
        <v>53</v>
      </c>
      <c r="F22">
        <f t="shared" si="8"/>
        <v>8.3306000000000004</v>
      </c>
      <c r="G22">
        <f t="shared" si="1"/>
        <v>441.52180000000004</v>
      </c>
      <c r="I22">
        <f t="shared" si="2"/>
        <v>3.8431999999999675</v>
      </c>
      <c r="M22">
        <v>34</v>
      </c>
      <c r="N22">
        <v>53972990</v>
      </c>
      <c r="O22">
        <v>9.9999999999999995E-7</v>
      </c>
      <c r="P22">
        <f t="shared" si="9"/>
        <v>53.972989999999996</v>
      </c>
      <c r="Q22">
        <f t="shared" si="10"/>
        <v>52.968449999999997</v>
      </c>
      <c r="R22">
        <v>1.0086649194999999</v>
      </c>
      <c r="S22">
        <v>931.49</v>
      </c>
      <c r="T22">
        <f t="shared" si="11"/>
        <v>3.8423212650561807</v>
      </c>
      <c r="Y22">
        <v>52</v>
      </c>
      <c r="Z22">
        <v>8115</v>
      </c>
      <c r="AA22">
        <v>1E-3</v>
      </c>
      <c r="AB22">
        <f t="shared" si="3"/>
        <v>421.98</v>
      </c>
      <c r="AC22">
        <f t="shared" si="12"/>
        <v>441.52180000000004</v>
      </c>
      <c r="AD22">
        <f t="shared" si="4"/>
        <v>19.541800000000023</v>
      </c>
      <c r="AJ22">
        <v>53</v>
      </c>
      <c r="AK22">
        <v>51981600</v>
      </c>
      <c r="AL22">
        <f t="shared" si="13"/>
        <v>52968450</v>
      </c>
      <c r="AM22">
        <v>9.9999999999999995E-7</v>
      </c>
      <c r="AN22">
        <f t="shared" si="5"/>
        <v>51.9816</v>
      </c>
      <c r="AO22">
        <f t="shared" si="6"/>
        <v>52.968449999999997</v>
      </c>
      <c r="AP22">
        <v>1.007825</v>
      </c>
      <c r="AQ22">
        <v>931.49</v>
      </c>
      <c r="AR22">
        <f t="shared" si="7"/>
        <v>19.538002749999968</v>
      </c>
    </row>
    <row r="23" spans="1:44" x14ac:dyDescent="0.35">
      <c r="A23">
        <v>55</v>
      </c>
      <c r="B23">
        <v>8.1258999999999997</v>
      </c>
      <c r="C23">
        <f t="shared" si="0"/>
        <v>446.92449999999997</v>
      </c>
      <c r="E23">
        <v>54</v>
      </c>
      <c r="F23">
        <f t="shared" si="8"/>
        <v>8.2475000000000005</v>
      </c>
      <c r="G23">
        <f t="shared" si="1"/>
        <v>445.36500000000001</v>
      </c>
      <c r="I23">
        <f t="shared" si="2"/>
        <v>1.5594999999999573</v>
      </c>
      <c r="M23">
        <v>35</v>
      </c>
      <c r="N23">
        <v>54979980</v>
      </c>
      <c r="O23">
        <v>9.9999999999999995E-7</v>
      </c>
      <c r="P23">
        <f t="shared" si="9"/>
        <v>54.979979999999998</v>
      </c>
      <c r="Q23">
        <f t="shared" si="10"/>
        <v>53.972989999999996</v>
      </c>
      <c r="R23">
        <v>1.0086649194999999</v>
      </c>
      <c r="S23">
        <v>931.49</v>
      </c>
      <c r="T23">
        <f t="shared" si="11"/>
        <v>1.5601707650532259</v>
      </c>
      <c r="Y23">
        <v>53</v>
      </c>
      <c r="Z23">
        <v>8022.8</v>
      </c>
      <c r="AA23">
        <v>1E-3</v>
      </c>
      <c r="AB23">
        <f t="shared" si="3"/>
        <v>425.20839999999998</v>
      </c>
      <c r="AC23">
        <f t="shared" si="12"/>
        <v>445.36500000000001</v>
      </c>
      <c r="AD23">
        <f t="shared" si="4"/>
        <v>20.156600000000026</v>
      </c>
      <c r="AJ23">
        <v>54</v>
      </c>
      <c r="AK23">
        <v>52986800</v>
      </c>
      <c r="AL23">
        <f t="shared" si="13"/>
        <v>53972990</v>
      </c>
      <c r="AM23">
        <v>9.9999999999999995E-7</v>
      </c>
      <c r="AN23">
        <f t="shared" si="5"/>
        <v>52.986799999999995</v>
      </c>
      <c r="AO23">
        <f t="shared" si="6"/>
        <v>53.972989999999996</v>
      </c>
      <c r="AP23">
        <v>1.007825</v>
      </c>
      <c r="AQ23">
        <v>931.49</v>
      </c>
      <c r="AR23">
        <f t="shared" si="7"/>
        <v>20.152786149996551</v>
      </c>
    </row>
    <row r="24" spans="1:44" x14ac:dyDescent="0.35">
      <c r="A24">
        <v>56</v>
      </c>
      <c r="B24">
        <v>8.0329999999999995</v>
      </c>
      <c r="C24">
        <f t="shared" si="0"/>
        <v>449.84799999999996</v>
      </c>
      <c r="E24">
        <v>55</v>
      </c>
      <c r="F24">
        <f t="shared" si="8"/>
        <v>8.1258999999999997</v>
      </c>
      <c r="G24">
        <f t="shared" si="1"/>
        <v>446.92449999999997</v>
      </c>
      <c r="I24">
        <f t="shared" si="2"/>
        <v>2.92349999999999</v>
      </c>
      <c r="M24">
        <v>36</v>
      </c>
      <c r="N24">
        <v>55985500</v>
      </c>
      <c r="O24">
        <v>9.9999999999999995E-7</v>
      </c>
      <c r="P24">
        <f t="shared" si="9"/>
        <v>55.985499999999995</v>
      </c>
      <c r="Q24">
        <f t="shared" si="10"/>
        <v>54.979979999999998</v>
      </c>
      <c r="R24">
        <v>1.0086649194999999</v>
      </c>
      <c r="S24">
        <v>931.49</v>
      </c>
      <c r="T24">
        <f t="shared" si="11"/>
        <v>2.9294610650576463</v>
      </c>
      <c r="Y24">
        <v>54</v>
      </c>
      <c r="Z24">
        <v>7891</v>
      </c>
      <c r="AA24">
        <v>1E-3</v>
      </c>
      <c r="AB24">
        <f t="shared" si="3"/>
        <v>426.11399999999998</v>
      </c>
      <c r="AC24">
        <f t="shared" si="12"/>
        <v>446.92449999999997</v>
      </c>
      <c r="AD24">
        <f t="shared" si="4"/>
        <v>20.81049999999999</v>
      </c>
      <c r="AJ24">
        <v>55</v>
      </c>
      <c r="AK24">
        <v>53994470</v>
      </c>
      <c r="AL24">
        <f t="shared" si="13"/>
        <v>54979980</v>
      </c>
      <c r="AM24">
        <v>9.9999999999999995E-7</v>
      </c>
      <c r="AN24">
        <f t="shared" si="5"/>
        <v>53.99447</v>
      </c>
      <c r="AO24">
        <f t="shared" si="6"/>
        <v>54.979979999999998</v>
      </c>
      <c r="AP24">
        <v>1.007825</v>
      </c>
      <c r="AQ24">
        <v>931.49</v>
      </c>
      <c r="AR24">
        <f t="shared" si="7"/>
        <v>20.786199349999045</v>
      </c>
    </row>
    <row r="25" spans="1:44" x14ac:dyDescent="0.35">
      <c r="A25">
        <v>57</v>
      </c>
      <c r="B25">
        <v>7.9119999999999999</v>
      </c>
      <c r="C25">
        <f t="shared" si="0"/>
        <v>450.98399999999998</v>
      </c>
      <c r="E25">
        <v>56</v>
      </c>
      <c r="F25">
        <f t="shared" si="8"/>
        <v>8.0329999999999995</v>
      </c>
      <c r="G25">
        <f t="shared" si="1"/>
        <v>449.84799999999996</v>
      </c>
      <c r="I25">
        <f t="shared" si="2"/>
        <v>1.1360000000000241</v>
      </c>
      <c r="M25">
        <v>37</v>
      </c>
      <c r="N25">
        <v>56992960</v>
      </c>
      <c r="O25">
        <v>9.9999999999999995E-7</v>
      </c>
      <c r="P25">
        <f t="shared" si="9"/>
        <v>56.992959999999997</v>
      </c>
      <c r="Q25">
        <f t="shared" si="10"/>
        <v>55.985499999999995</v>
      </c>
      <c r="R25">
        <v>1.0086649194999999</v>
      </c>
      <c r="S25">
        <v>931.49</v>
      </c>
      <c r="T25">
        <f t="shared" si="11"/>
        <v>1.1223704650532536</v>
      </c>
      <c r="Y25">
        <v>55</v>
      </c>
      <c r="Z25">
        <v>7792</v>
      </c>
      <c r="AA25">
        <v>1E-3</v>
      </c>
      <c r="AB25">
        <f t="shared" si="3"/>
        <v>428.56</v>
      </c>
      <c r="AC25">
        <f t="shared" si="12"/>
        <v>449.84799999999996</v>
      </c>
      <c r="AD25">
        <f t="shared" si="4"/>
        <v>21.287999999999954</v>
      </c>
      <c r="AJ25">
        <v>56</v>
      </c>
      <c r="AK25">
        <v>55000510</v>
      </c>
      <c r="AL25">
        <f t="shared" si="13"/>
        <v>55985500</v>
      </c>
      <c r="AM25">
        <v>9.9999999999999995E-7</v>
      </c>
      <c r="AN25">
        <f t="shared" si="5"/>
        <v>55.000509999999998</v>
      </c>
      <c r="AO25">
        <f t="shared" si="6"/>
        <v>55.985499999999995</v>
      </c>
      <c r="AP25">
        <v>1.007825</v>
      </c>
      <c r="AQ25">
        <v>931.49</v>
      </c>
      <c r="AR25">
        <f t="shared" si="7"/>
        <v>21.270574150000563</v>
      </c>
    </row>
    <row r="26" spans="1:44" x14ac:dyDescent="0.35">
      <c r="A26">
        <v>58</v>
      </c>
      <c r="B26">
        <v>7.8280000000000003</v>
      </c>
      <c r="C26">
        <f t="shared" si="0"/>
        <v>454.024</v>
      </c>
      <c r="E26">
        <v>57</v>
      </c>
      <c r="F26">
        <f t="shared" si="8"/>
        <v>7.9119999999999999</v>
      </c>
      <c r="G26">
        <f t="shared" si="1"/>
        <v>450.98399999999998</v>
      </c>
      <c r="I26">
        <f t="shared" si="2"/>
        <v>3.0400000000000205</v>
      </c>
      <c r="L26" t="s">
        <v>0</v>
      </c>
      <c r="M26">
        <v>38</v>
      </c>
      <c r="N26">
        <v>57998360</v>
      </c>
      <c r="O26">
        <v>9.9999999999999995E-7</v>
      </c>
      <c r="P26">
        <f t="shared" si="9"/>
        <v>57.998359999999998</v>
      </c>
      <c r="Q26">
        <f t="shared" si="10"/>
        <v>56.992959999999997</v>
      </c>
      <c r="R26">
        <v>1.0086649194999999</v>
      </c>
      <c r="S26">
        <v>931.49</v>
      </c>
      <c r="T26">
        <f t="shared" si="11"/>
        <v>3.0412398650534143</v>
      </c>
      <c r="Y26">
        <v>56</v>
      </c>
      <c r="Z26">
        <v>7663</v>
      </c>
      <c r="AA26">
        <v>1E-3</v>
      </c>
      <c r="AB26">
        <f t="shared" si="3"/>
        <v>429.12800000000004</v>
      </c>
      <c r="AC26">
        <f t="shared" si="12"/>
        <v>450.98399999999998</v>
      </c>
      <c r="AD26">
        <f t="shared" si="4"/>
        <v>21.855999999999938</v>
      </c>
      <c r="AJ26">
        <v>57</v>
      </c>
      <c r="AK26">
        <v>56008570</v>
      </c>
      <c r="AL26">
        <f t="shared" si="13"/>
        <v>56992960</v>
      </c>
      <c r="AM26">
        <v>9.9999999999999995E-7</v>
      </c>
      <c r="AN26">
        <f t="shared" si="5"/>
        <v>56.008569999999999</v>
      </c>
      <c r="AO26">
        <f t="shared" si="6"/>
        <v>56.992959999999997</v>
      </c>
      <c r="AP26">
        <v>1.007825</v>
      </c>
      <c r="AQ26">
        <v>931.49</v>
      </c>
      <c r="AR26">
        <f t="shared" si="7"/>
        <v>21.829468149999261</v>
      </c>
    </row>
    <row r="27" spans="1:44" x14ac:dyDescent="0.35">
      <c r="A27">
        <v>59</v>
      </c>
      <c r="B27">
        <v>7.7080000000000002</v>
      </c>
      <c r="C27">
        <f t="shared" si="0"/>
        <v>454.77199999999999</v>
      </c>
      <c r="E27">
        <v>58</v>
      </c>
      <c r="F27">
        <f t="shared" si="8"/>
        <v>7.8280000000000003</v>
      </c>
      <c r="G27">
        <f t="shared" si="1"/>
        <v>454.024</v>
      </c>
      <c r="I27">
        <f t="shared" si="2"/>
        <v>0.74799999999999045</v>
      </c>
      <c r="M27">
        <v>39</v>
      </c>
      <c r="N27">
        <v>59006240</v>
      </c>
      <c r="O27">
        <v>9.9999999999999995E-7</v>
      </c>
      <c r="P27">
        <f t="shared" si="9"/>
        <v>59.006239999999998</v>
      </c>
      <c r="Q27">
        <f t="shared" si="10"/>
        <v>57.998359999999998</v>
      </c>
      <c r="R27">
        <v>1.0086649194999999</v>
      </c>
      <c r="S27">
        <v>931.49</v>
      </c>
      <c r="T27">
        <f t="shared" si="11"/>
        <v>0.73114466505482711</v>
      </c>
      <c r="Y27">
        <v>57</v>
      </c>
      <c r="Z27">
        <v>7563</v>
      </c>
      <c r="AA27">
        <v>1E-3</v>
      </c>
      <c r="AB27">
        <f t="shared" si="3"/>
        <v>431.09100000000001</v>
      </c>
      <c r="AC27">
        <f t="shared" si="12"/>
        <v>454.024</v>
      </c>
      <c r="AD27">
        <f t="shared" si="4"/>
        <v>22.932999999999993</v>
      </c>
      <c r="AJ27">
        <v>58</v>
      </c>
      <c r="AK27">
        <v>57015170</v>
      </c>
      <c r="AL27">
        <f t="shared" si="13"/>
        <v>57998360</v>
      </c>
      <c r="AM27">
        <v>9.9999999999999995E-7</v>
      </c>
      <c r="AN27">
        <f t="shared" si="5"/>
        <v>57.015169999999998</v>
      </c>
      <c r="AO27">
        <f t="shared" si="6"/>
        <v>57.998359999999998</v>
      </c>
      <c r="AP27">
        <v>1.007825</v>
      </c>
      <c r="AQ27">
        <v>931.49</v>
      </c>
      <c r="AR27">
        <f t="shared" si="7"/>
        <v>22.947256149996655</v>
      </c>
    </row>
    <row r="28" spans="1:44" x14ac:dyDescent="0.35">
      <c r="A28">
        <v>60</v>
      </c>
      <c r="B28">
        <v>7.6269999999999998</v>
      </c>
      <c r="C28">
        <f t="shared" si="0"/>
        <v>457.62</v>
      </c>
      <c r="E28">
        <v>59</v>
      </c>
      <c r="F28">
        <f t="shared" si="8"/>
        <v>7.7080000000000002</v>
      </c>
      <c r="G28">
        <f t="shared" si="1"/>
        <v>454.77199999999999</v>
      </c>
      <c r="I28">
        <f t="shared" si="2"/>
        <v>2.8480000000000132</v>
      </c>
      <c r="M28">
        <v>40</v>
      </c>
      <c r="N28">
        <v>60011810</v>
      </c>
      <c r="O28">
        <v>9.9999999999999995E-7</v>
      </c>
      <c r="P28">
        <f t="shared" si="9"/>
        <v>60.011809999999997</v>
      </c>
      <c r="Q28">
        <f t="shared" si="10"/>
        <v>59.006239999999998</v>
      </c>
      <c r="R28">
        <v>1.0086649194999999</v>
      </c>
      <c r="S28">
        <v>931.49</v>
      </c>
      <c r="T28">
        <f t="shared" si="11"/>
        <v>2.8828865650561002</v>
      </c>
      <c r="Y28">
        <v>58</v>
      </c>
      <c r="Z28">
        <v>7437</v>
      </c>
      <c r="AA28">
        <v>1E-3</v>
      </c>
      <c r="AB28">
        <f t="shared" si="3"/>
        <v>431.346</v>
      </c>
      <c r="AC28">
        <f t="shared" si="12"/>
        <v>454.77199999999999</v>
      </c>
      <c r="AD28">
        <f t="shared" si="4"/>
        <v>23.425999999999988</v>
      </c>
      <c r="AJ28">
        <v>59</v>
      </c>
      <c r="AK28">
        <v>58023540</v>
      </c>
      <c r="AL28">
        <f t="shared" si="13"/>
        <v>59006240</v>
      </c>
      <c r="AM28">
        <v>9.9999999999999995E-7</v>
      </c>
      <c r="AN28">
        <f t="shared" si="5"/>
        <v>58.023539999999997</v>
      </c>
      <c r="AO28">
        <f t="shared" si="6"/>
        <v>59.006239999999998</v>
      </c>
      <c r="AP28">
        <v>1.007825</v>
      </c>
      <c r="AQ28">
        <v>931.49</v>
      </c>
      <c r="AR28">
        <f t="shared" si="7"/>
        <v>23.403686249995925</v>
      </c>
    </row>
    <row r="29" spans="1:44" x14ac:dyDescent="0.35">
      <c r="A29">
        <v>61</v>
      </c>
      <c r="B29">
        <v>7.5030000000000001</v>
      </c>
      <c r="C29">
        <f t="shared" si="0"/>
        <v>457.68299999999999</v>
      </c>
      <c r="E29">
        <v>60</v>
      </c>
      <c r="F29">
        <f t="shared" si="8"/>
        <v>7.6269999999999998</v>
      </c>
      <c r="G29">
        <f t="shared" si="1"/>
        <v>457.62</v>
      </c>
      <c r="I29">
        <f t="shared" si="2"/>
        <v>6.2999999999988177E-2</v>
      </c>
      <c r="M29">
        <v>41</v>
      </c>
      <c r="N29">
        <v>61020410</v>
      </c>
      <c r="O29">
        <v>9.9999999999999995E-7</v>
      </c>
      <c r="P29">
        <f t="shared" si="9"/>
        <v>61.020409999999998</v>
      </c>
      <c r="Q29">
        <f t="shared" si="10"/>
        <v>60.011809999999997</v>
      </c>
      <c r="R29">
        <v>1.0086649194999999</v>
      </c>
      <c r="S29">
        <v>931.49</v>
      </c>
      <c r="T29">
        <f t="shared" si="11"/>
        <v>6.0471865053742684E-2</v>
      </c>
      <c r="Y29">
        <v>59</v>
      </c>
      <c r="Z29">
        <v>7332</v>
      </c>
      <c r="AA29">
        <v>1E-3</v>
      </c>
      <c r="AB29">
        <f t="shared" si="3"/>
        <v>432.58799999999997</v>
      </c>
      <c r="AC29">
        <f t="shared" si="12"/>
        <v>457.62</v>
      </c>
      <c r="AD29">
        <f t="shared" si="4"/>
        <v>25.032000000000039</v>
      </c>
      <c r="AJ29">
        <v>60</v>
      </c>
      <c r="AK29">
        <v>59030860</v>
      </c>
      <c r="AL29">
        <f t="shared" si="13"/>
        <v>60011810</v>
      </c>
      <c r="AM29">
        <v>9.9999999999999995E-7</v>
      </c>
      <c r="AN29">
        <f t="shared" si="5"/>
        <v>59.030859999999997</v>
      </c>
      <c r="AO29">
        <f t="shared" si="6"/>
        <v>60.011809999999997</v>
      </c>
      <c r="AP29">
        <v>1.007825</v>
      </c>
      <c r="AQ29">
        <v>931.49</v>
      </c>
      <c r="AR29">
        <f t="shared" si="7"/>
        <v>25.033793749997088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C563-6540-4139-93B1-3BB8CE3BBE6F}">
  <dimension ref="A1:AL37"/>
  <sheetViews>
    <sheetView topLeftCell="O1" zoomScale="57" zoomScaleNormal="70" workbookViewId="0">
      <selection activeCell="Y10" sqref="Y10:Y18"/>
    </sheetView>
  </sheetViews>
  <sheetFormatPr defaultRowHeight="14.5" x14ac:dyDescent="0.35"/>
  <cols>
    <col min="11" max="11" width="11" bestFit="1" customWidth="1"/>
    <col min="12" max="12" width="14.54296875" customWidth="1"/>
    <col min="23" max="23" width="10.6328125" customWidth="1"/>
    <col min="31" max="31" width="10.81640625" customWidth="1"/>
    <col min="32" max="32" width="9.7265625" customWidth="1"/>
    <col min="33" max="33" width="11.6328125" customWidth="1"/>
    <col min="34" max="34" width="10.90625" customWidth="1"/>
  </cols>
  <sheetData>
    <row r="1" spans="1:38" x14ac:dyDescent="0.35">
      <c r="A1" t="s">
        <v>1</v>
      </c>
      <c r="B1" t="s">
        <v>7</v>
      </c>
      <c r="D1" t="s">
        <v>8</v>
      </c>
      <c r="F1" t="s">
        <v>9</v>
      </c>
      <c r="G1" t="s">
        <v>8</v>
      </c>
      <c r="H1" t="s">
        <v>11</v>
      </c>
      <c r="J1" t="s">
        <v>16</v>
      </c>
      <c r="K1" t="s">
        <v>22</v>
      </c>
      <c r="L1" t="s">
        <v>29</v>
      </c>
      <c r="M1" t="s">
        <v>27</v>
      </c>
      <c r="N1" t="s">
        <v>25</v>
      </c>
      <c r="O1" t="s">
        <v>30</v>
      </c>
      <c r="P1" t="s">
        <v>18</v>
      </c>
      <c r="Q1" t="s">
        <v>14</v>
      </c>
      <c r="T1" t="s">
        <v>37</v>
      </c>
      <c r="U1" t="s">
        <v>48</v>
      </c>
      <c r="V1" t="s">
        <v>42</v>
      </c>
      <c r="W1" t="s">
        <v>45</v>
      </c>
      <c r="X1" t="s">
        <v>12</v>
      </c>
      <c r="Y1" t="s">
        <v>35</v>
      </c>
      <c r="AC1" t="s">
        <v>1</v>
      </c>
      <c r="AD1" t="s">
        <v>37</v>
      </c>
      <c r="AE1" t="s">
        <v>40</v>
      </c>
      <c r="AF1" t="s">
        <v>39</v>
      </c>
      <c r="AG1" t="s">
        <v>46</v>
      </c>
      <c r="AH1" t="s">
        <v>41</v>
      </c>
      <c r="AI1" t="s">
        <v>50</v>
      </c>
      <c r="AJ1" t="s">
        <v>47</v>
      </c>
      <c r="AK1" t="s">
        <v>18</v>
      </c>
      <c r="AL1" t="s">
        <v>35</v>
      </c>
    </row>
    <row r="2" spans="1:38" x14ac:dyDescent="0.35">
      <c r="T2">
        <v>47</v>
      </c>
      <c r="U2">
        <v>7396</v>
      </c>
      <c r="V2">
        <v>1E-3</v>
      </c>
      <c r="W2">
        <f>T2*U2*V2</f>
        <v>347.61200000000002</v>
      </c>
      <c r="X2">
        <v>347.32799999999997</v>
      </c>
      <c r="Y2">
        <f>X2-W2</f>
        <v>-0.28400000000004866</v>
      </c>
      <c r="AC2">
        <v>48</v>
      </c>
      <c r="AD2">
        <v>47</v>
      </c>
      <c r="AE2">
        <v>47011400</v>
      </c>
      <c r="AF2">
        <v>48019520</v>
      </c>
      <c r="AG2">
        <v>9.9999999999999995E-7</v>
      </c>
      <c r="AH2">
        <f>AE2*AG2</f>
        <v>47.011399999999995</v>
      </c>
      <c r="AI2">
        <f>AF2*AG2</f>
        <v>48.01952</v>
      </c>
      <c r="AJ2">
        <v>1.007825</v>
      </c>
      <c r="AK2">
        <v>931.49</v>
      </c>
      <c r="AL2">
        <f>(AH2+AJ2-AI2)*AK2</f>
        <v>-0.27478955000779837</v>
      </c>
    </row>
    <row r="3" spans="1:38" x14ac:dyDescent="0.35">
      <c r="A3">
        <v>49</v>
      </c>
      <c r="B3">
        <v>7450</v>
      </c>
      <c r="C3">
        <v>1E-3</v>
      </c>
      <c r="D3">
        <f>A3*B3*C3</f>
        <v>365.05</v>
      </c>
      <c r="E3">
        <f>A3-28</f>
        <v>21</v>
      </c>
      <c r="F3">
        <v>48</v>
      </c>
      <c r="G3">
        <v>347.32799999999997</v>
      </c>
      <c r="H3">
        <f>D3-G3</f>
        <v>17.722000000000037</v>
      </c>
      <c r="J3">
        <v>21</v>
      </c>
      <c r="K3">
        <v>49009160</v>
      </c>
      <c r="L3">
        <v>9.9999999999999995E-7</v>
      </c>
      <c r="M3">
        <f>L3*K3</f>
        <v>49.009159999999994</v>
      </c>
      <c r="N3">
        <v>48.01952</v>
      </c>
      <c r="O3">
        <v>1.0086649194999999</v>
      </c>
      <c r="P3">
        <v>931.49</v>
      </c>
      <c r="Q3">
        <f>(N3+O3-M3)*P3</f>
        <v>17.721522265059615</v>
      </c>
      <c r="T3">
        <v>48</v>
      </c>
      <c r="U3">
        <v>7595</v>
      </c>
      <c r="V3">
        <v>1E-3</v>
      </c>
      <c r="W3">
        <f t="shared" ref="W3:W33" si="0">T3*U3*V3</f>
        <v>364.56</v>
      </c>
      <c r="X3">
        <f>D3</f>
        <v>365.05</v>
      </c>
      <c r="Y3">
        <f t="shared" ref="Y3:Y33" si="1">X3-W3</f>
        <v>0.49000000000000909</v>
      </c>
      <c r="AC3">
        <v>49</v>
      </c>
      <c r="AD3">
        <v>48</v>
      </c>
      <c r="AE3">
        <v>48001860</v>
      </c>
      <c r="AF3">
        <v>49009160</v>
      </c>
      <c r="AG3">
        <v>9.9999999999999995E-7</v>
      </c>
      <c r="AH3">
        <f t="shared" ref="AH3:AH33" si="2">AE3*AG3</f>
        <v>48.001860000000001</v>
      </c>
      <c r="AI3">
        <f t="shared" ref="AI3:AI33" si="3">AF3*AG3</f>
        <v>49.009159999999994</v>
      </c>
      <c r="AJ3">
        <v>1.007825</v>
      </c>
      <c r="AK3">
        <v>931.49</v>
      </c>
      <c r="AL3">
        <f t="shared" ref="AL3:AL33" si="4">(AH3+AJ3-AI3)*AK3</f>
        <v>0.48903225000299694</v>
      </c>
    </row>
    <row r="4" spans="1:38" x14ac:dyDescent="0.35">
      <c r="A4">
        <v>50</v>
      </c>
      <c r="B4">
        <v>7702</v>
      </c>
      <c r="C4">
        <v>1E-3</v>
      </c>
      <c r="D4">
        <f t="shared" ref="D4:D36" si="5">A4*B4*C4</f>
        <v>385.1</v>
      </c>
      <c r="E4">
        <f t="shared" ref="E4:E36" si="6">A4-28</f>
        <v>22</v>
      </c>
      <c r="F4">
        <v>49</v>
      </c>
      <c r="G4">
        <f>D3</f>
        <v>365.05</v>
      </c>
      <c r="H4">
        <f t="shared" ref="H4:H36" si="7">D4-G4</f>
        <v>20.050000000000011</v>
      </c>
      <c r="J4">
        <v>22</v>
      </c>
      <c r="K4">
        <v>49996290</v>
      </c>
      <c r="L4">
        <v>9.9999999999999995E-7</v>
      </c>
      <c r="M4">
        <f t="shared" ref="M4:M36" si="8">L4*K4</f>
        <v>49.996289999999995</v>
      </c>
      <c r="N4">
        <f>M3</f>
        <v>49.009159999999994</v>
      </c>
      <c r="O4">
        <v>1.0086649194999999</v>
      </c>
      <c r="P4">
        <v>931.49</v>
      </c>
      <c r="Q4">
        <f t="shared" ref="Q4:Q36" si="9">(N4+O4-M4)*P4</f>
        <v>20.059562165053837</v>
      </c>
      <c r="T4">
        <v>49</v>
      </c>
      <c r="U4">
        <v>7840</v>
      </c>
      <c r="V4">
        <v>1E-3</v>
      </c>
      <c r="W4">
        <f t="shared" si="0"/>
        <v>384.16</v>
      </c>
      <c r="X4">
        <f t="shared" ref="X4:X33" si="10">D4</f>
        <v>385.1</v>
      </c>
      <c r="Y4">
        <f t="shared" si="1"/>
        <v>0.93999999999999773</v>
      </c>
      <c r="AC4">
        <v>50</v>
      </c>
      <c r="AD4">
        <v>49</v>
      </c>
      <c r="AE4">
        <v>48989500</v>
      </c>
      <c r="AF4">
        <v>49996290</v>
      </c>
      <c r="AG4">
        <v>9.9999999999999995E-7</v>
      </c>
      <c r="AH4">
        <f t="shared" si="2"/>
        <v>48.9895</v>
      </c>
      <c r="AI4">
        <f t="shared" si="3"/>
        <v>49.996289999999995</v>
      </c>
      <c r="AJ4">
        <v>1.007825</v>
      </c>
      <c r="AK4">
        <v>931.49</v>
      </c>
      <c r="AL4">
        <f t="shared" si="4"/>
        <v>0.96409215000155879</v>
      </c>
    </row>
    <row r="5" spans="1:38" x14ac:dyDescent="0.35">
      <c r="A5">
        <v>51</v>
      </c>
      <c r="B5">
        <v>7870</v>
      </c>
      <c r="C5">
        <v>1E-3</v>
      </c>
      <c r="D5">
        <f t="shared" si="5"/>
        <v>401.37</v>
      </c>
      <c r="E5">
        <f t="shared" si="6"/>
        <v>23</v>
      </c>
      <c r="F5">
        <v>50</v>
      </c>
      <c r="G5">
        <f t="shared" ref="G5:G36" si="11">D4</f>
        <v>385.1</v>
      </c>
      <c r="H5">
        <f t="shared" si="7"/>
        <v>16.269999999999982</v>
      </c>
      <c r="J5">
        <v>23</v>
      </c>
      <c r="K5">
        <v>50987490</v>
      </c>
      <c r="L5">
        <v>9.9999999999999995E-7</v>
      </c>
      <c r="M5">
        <f t="shared" si="8"/>
        <v>50.987490000000001</v>
      </c>
      <c r="N5">
        <f t="shared" ref="N5:N36" si="12">M4</f>
        <v>49.996289999999995</v>
      </c>
      <c r="O5">
        <v>1.0086649194999999</v>
      </c>
      <c r="P5">
        <v>931.49</v>
      </c>
      <c r="Q5">
        <f t="shared" si="9"/>
        <v>16.268397865048442</v>
      </c>
      <c r="T5">
        <v>50</v>
      </c>
      <c r="U5">
        <v>8000.6</v>
      </c>
      <c r="V5">
        <v>1E-3</v>
      </c>
      <c r="W5">
        <f t="shared" si="0"/>
        <v>400.03000000000003</v>
      </c>
      <c r="X5">
        <f t="shared" si="10"/>
        <v>401.37</v>
      </c>
      <c r="Y5">
        <f t="shared" si="1"/>
        <v>1.339999999999975</v>
      </c>
      <c r="AC5">
        <v>51</v>
      </c>
      <c r="AD5">
        <v>50</v>
      </c>
      <c r="AE5">
        <v>49981120</v>
      </c>
      <c r="AF5">
        <v>50987490</v>
      </c>
      <c r="AG5">
        <v>9.9999999999999995E-7</v>
      </c>
      <c r="AH5">
        <f t="shared" si="2"/>
        <v>49.981119999999997</v>
      </c>
      <c r="AI5">
        <f t="shared" si="3"/>
        <v>50.987490000000001</v>
      </c>
      <c r="AJ5">
        <v>1.007825</v>
      </c>
      <c r="AK5">
        <v>931.49</v>
      </c>
      <c r="AL5">
        <f t="shared" si="4"/>
        <v>1.3553179499933665</v>
      </c>
    </row>
    <row r="6" spans="1:38" x14ac:dyDescent="0.35">
      <c r="A6">
        <v>52</v>
      </c>
      <c r="B6">
        <v>8083.9</v>
      </c>
      <c r="C6">
        <v>1E-3</v>
      </c>
      <c r="D6">
        <f t="shared" si="5"/>
        <v>420.36279999999999</v>
      </c>
      <c r="E6">
        <f t="shared" si="6"/>
        <v>24</v>
      </c>
      <c r="F6">
        <v>51</v>
      </c>
      <c r="G6">
        <f t="shared" si="11"/>
        <v>401.37</v>
      </c>
      <c r="H6">
        <f t="shared" si="7"/>
        <v>18.992799999999988</v>
      </c>
      <c r="J6">
        <v>24</v>
      </c>
      <c r="K6">
        <v>51975780</v>
      </c>
      <c r="L6">
        <v>9.9999999999999995E-7</v>
      </c>
      <c r="M6">
        <f t="shared" si="8"/>
        <v>51.97578</v>
      </c>
      <c r="N6">
        <f t="shared" si="12"/>
        <v>50.987490000000001</v>
      </c>
      <c r="O6">
        <v>1.0086649194999999</v>
      </c>
      <c r="P6">
        <v>931.49</v>
      </c>
      <c r="Q6">
        <f t="shared" si="9"/>
        <v>18.979033765055032</v>
      </c>
      <c r="T6">
        <v>51</v>
      </c>
      <c r="U6">
        <v>8193.2999999999993</v>
      </c>
      <c r="V6">
        <v>1E-3</v>
      </c>
      <c r="W6">
        <f t="shared" si="0"/>
        <v>417.85829999999999</v>
      </c>
      <c r="X6">
        <f t="shared" si="10"/>
        <v>420.36279999999999</v>
      </c>
      <c r="Y6">
        <f t="shared" si="1"/>
        <v>2.5045000000000073</v>
      </c>
      <c r="AC6">
        <v>52</v>
      </c>
      <c r="AD6">
        <v>51</v>
      </c>
      <c r="AE6">
        <v>50970650</v>
      </c>
      <c r="AF6">
        <v>51975780</v>
      </c>
      <c r="AG6">
        <v>9.9999999999999995E-7</v>
      </c>
      <c r="AH6">
        <f t="shared" si="2"/>
        <v>50.970649999999999</v>
      </c>
      <c r="AI6">
        <f t="shared" si="3"/>
        <v>51.97578</v>
      </c>
      <c r="AJ6">
        <v>1.007825</v>
      </c>
      <c r="AK6">
        <v>931.49</v>
      </c>
      <c r="AL6">
        <f t="shared" si="4"/>
        <v>2.5103655499959694</v>
      </c>
    </row>
    <row r="7" spans="1:38" x14ac:dyDescent="0.35">
      <c r="A7">
        <v>53</v>
      </c>
      <c r="B7">
        <v>8217.1</v>
      </c>
      <c r="C7">
        <v>1E-3</v>
      </c>
      <c r="D7">
        <f t="shared" si="5"/>
        <v>435.50630000000007</v>
      </c>
      <c r="E7">
        <f t="shared" si="6"/>
        <v>25</v>
      </c>
      <c r="F7">
        <v>52</v>
      </c>
      <c r="G7">
        <f t="shared" si="11"/>
        <v>420.36279999999999</v>
      </c>
      <c r="H7">
        <f t="shared" si="7"/>
        <v>15.143500000000074</v>
      </c>
      <c r="J7">
        <v>25</v>
      </c>
      <c r="K7">
        <v>52968190</v>
      </c>
      <c r="L7">
        <v>9.9999999999999995E-7</v>
      </c>
      <c r="M7">
        <f t="shared" si="8"/>
        <v>52.96819</v>
      </c>
      <c r="N7">
        <f t="shared" si="12"/>
        <v>51.97578</v>
      </c>
      <c r="O7">
        <v>1.0086649194999999</v>
      </c>
      <c r="P7">
        <v>931.49</v>
      </c>
      <c r="Q7">
        <f t="shared" si="9"/>
        <v>15.141294965054708</v>
      </c>
      <c r="T7">
        <v>52</v>
      </c>
      <c r="U7">
        <v>8325.56</v>
      </c>
      <c r="V7">
        <v>1E-3</v>
      </c>
      <c r="W7">
        <f t="shared" si="0"/>
        <v>432.92912000000001</v>
      </c>
      <c r="X7">
        <f t="shared" si="10"/>
        <v>435.50630000000007</v>
      </c>
      <c r="Y7">
        <f t="shared" si="1"/>
        <v>2.5771800000000553</v>
      </c>
      <c r="AC7">
        <v>53</v>
      </c>
      <c r="AD7">
        <v>52</v>
      </c>
      <c r="AE7">
        <v>51963130</v>
      </c>
      <c r="AF7">
        <v>52968190</v>
      </c>
      <c r="AG7">
        <v>9.9999999999999995E-7</v>
      </c>
      <c r="AH7">
        <f t="shared" si="2"/>
        <v>51.96313</v>
      </c>
      <c r="AI7">
        <f t="shared" si="3"/>
        <v>52.96819</v>
      </c>
      <c r="AJ7">
        <v>1.007825</v>
      </c>
      <c r="AK7">
        <v>931.49</v>
      </c>
      <c r="AL7">
        <f t="shared" si="4"/>
        <v>2.5755698499968105</v>
      </c>
    </row>
    <row r="8" spans="1:38" x14ac:dyDescent="0.35">
      <c r="A8">
        <v>54</v>
      </c>
      <c r="B8">
        <v>8393.0300000000007</v>
      </c>
      <c r="C8">
        <v>1E-3</v>
      </c>
      <c r="D8">
        <f t="shared" si="5"/>
        <v>453.22362000000004</v>
      </c>
      <c r="E8">
        <f t="shared" si="6"/>
        <v>26</v>
      </c>
      <c r="F8">
        <v>53</v>
      </c>
      <c r="G8">
        <f t="shared" si="11"/>
        <v>435.50630000000007</v>
      </c>
      <c r="H8">
        <f t="shared" si="7"/>
        <v>17.717319999999972</v>
      </c>
      <c r="J8">
        <v>26</v>
      </c>
      <c r="K8">
        <v>53957833</v>
      </c>
      <c r="L8">
        <v>9.9999999999999995E-7</v>
      </c>
      <c r="M8">
        <f>L8*K8</f>
        <v>53.957833000000001</v>
      </c>
      <c r="N8">
        <f t="shared" si="12"/>
        <v>52.96819</v>
      </c>
      <c r="O8">
        <v>1.0086649194999999</v>
      </c>
      <c r="P8">
        <v>931.49</v>
      </c>
      <c r="Q8">
        <f t="shared" si="9"/>
        <v>17.718727795053436</v>
      </c>
      <c r="T8">
        <v>53</v>
      </c>
      <c r="U8">
        <v>8477.66</v>
      </c>
      <c r="V8">
        <v>1E-3</v>
      </c>
      <c r="W8">
        <f t="shared" si="0"/>
        <v>449.31597999999997</v>
      </c>
      <c r="X8">
        <f t="shared" si="10"/>
        <v>453.22362000000004</v>
      </c>
      <c r="Y8">
        <f t="shared" si="1"/>
        <v>3.9076400000000717</v>
      </c>
      <c r="AC8">
        <v>54</v>
      </c>
      <c r="AD8">
        <v>53</v>
      </c>
      <c r="AE8">
        <v>52954203.299999997</v>
      </c>
      <c r="AF8">
        <v>53957833</v>
      </c>
      <c r="AG8">
        <v>9.9999999999999995E-7</v>
      </c>
      <c r="AH8">
        <f t="shared" si="2"/>
        <v>52.954203299999996</v>
      </c>
      <c r="AI8">
        <f t="shared" si="3"/>
        <v>53.957833000000001</v>
      </c>
      <c r="AJ8">
        <v>1.007825</v>
      </c>
      <c r="AK8">
        <v>931.49</v>
      </c>
      <c r="AL8">
        <f t="shared" si="4"/>
        <v>3.9078799969926696</v>
      </c>
    </row>
    <row r="9" spans="1:38" x14ac:dyDescent="0.35">
      <c r="A9">
        <v>55</v>
      </c>
      <c r="B9">
        <v>8497.3230000000003</v>
      </c>
      <c r="C9">
        <v>1E-3</v>
      </c>
      <c r="D9">
        <f t="shared" si="5"/>
        <v>467.35276500000003</v>
      </c>
      <c r="E9">
        <f t="shared" si="6"/>
        <v>27</v>
      </c>
      <c r="F9">
        <v>54</v>
      </c>
      <c r="G9">
        <f t="shared" si="11"/>
        <v>453.22362000000004</v>
      </c>
      <c r="H9">
        <f t="shared" si="7"/>
        <v>14.129144999999994</v>
      </c>
      <c r="J9">
        <v>27</v>
      </c>
      <c r="K9">
        <v>54951329.799999997</v>
      </c>
      <c r="L9">
        <v>9.9999999999999995E-7</v>
      </c>
      <c r="M9">
        <f t="shared" si="8"/>
        <v>54.951329799999996</v>
      </c>
      <c r="N9">
        <f t="shared" si="12"/>
        <v>53.957833000000001</v>
      </c>
      <c r="O9">
        <v>1.0086649194999999</v>
      </c>
      <c r="P9">
        <v>931.49</v>
      </c>
      <c r="Q9">
        <f t="shared" si="9"/>
        <v>14.128951633058485</v>
      </c>
      <c r="T9">
        <v>54</v>
      </c>
      <c r="U9">
        <v>8569.2199999999993</v>
      </c>
      <c r="V9">
        <v>1E-3</v>
      </c>
      <c r="W9">
        <f t="shared" si="0"/>
        <v>462.73787999999996</v>
      </c>
      <c r="X9">
        <f t="shared" si="10"/>
        <v>467.35276500000003</v>
      </c>
      <c r="Y9">
        <f t="shared" si="1"/>
        <v>4.6148850000000721</v>
      </c>
      <c r="AC9">
        <v>55</v>
      </c>
      <c r="AD9">
        <v>54</v>
      </c>
      <c r="AE9">
        <v>53948459.100000001</v>
      </c>
      <c r="AF9">
        <v>54951329.799999997</v>
      </c>
      <c r="AG9">
        <v>9.9999999999999995E-7</v>
      </c>
      <c r="AH9">
        <f t="shared" si="2"/>
        <v>53.948459100000001</v>
      </c>
      <c r="AI9">
        <f t="shared" si="3"/>
        <v>54.951329799999996</v>
      </c>
      <c r="AJ9">
        <v>1.007825</v>
      </c>
      <c r="AK9">
        <v>931.49</v>
      </c>
      <c r="AL9">
        <f t="shared" si="4"/>
        <v>4.6148809070013135</v>
      </c>
    </row>
    <row r="10" spans="1:38" x14ac:dyDescent="0.35">
      <c r="A10">
        <v>56</v>
      </c>
      <c r="B10">
        <v>8642.7810000000009</v>
      </c>
      <c r="C10">
        <v>1E-3</v>
      </c>
      <c r="D10">
        <f t="shared" si="5"/>
        <v>483.99573600000002</v>
      </c>
      <c r="E10">
        <f t="shared" si="6"/>
        <v>28</v>
      </c>
      <c r="F10">
        <v>55</v>
      </c>
      <c r="G10">
        <f t="shared" si="11"/>
        <v>467.35276500000003</v>
      </c>
      <c r="H10">
        <f t="shared" si="7"/>
        <v>16.642970999999989</v>
      </c>
      <c r="J10">
        <v>28</v>
      </c>
      <c r="K10">
        <v>55942127.799999997</v>
      </c>
      <c r="L10">
        <v>9.9999999999999995E-7</v>
      </c>
      <c r="M10">
        <f t="shared" si="8"/>
        <v>55.942127799999994</v>
      </c>
      <c r="N10">
        <f t="shared" si="12"/>
        <v>54.951329799999996</v>
      </c>
      <c r="O10">
        <v>1.0086649194999999</v>
      </c>
      <c r="P10">
        <v>931.49</v>
      </c>
      <c r="Q10">
        <f t="shared" si="9"/>
        <v>16.642856845056109</v>
      </c>
      <c r="T10">
        <v>55</v>
      </c>
      <c r="U10">
        <v>8669.6200000000008</v>
      </c>
      <c r="V10">
        <v>1E-3</v>
      </c>
      <c r="W10">
        <f t="shared" si="0"/>
        <v>476.82910000000004</v>
      </c>
      <c r="X10">
        <f t="shared" si="10"/>
        <v>483.99573600000002</v>
      </c>
      <c r="Y10">
        <f t="shared" si="1"/>
        <v>7.1666359999999827</v>
      </c>
      <c r="AC10">
        <v>56</v>
      </c>
      <c r="AD10">
        <v>55</v>
      </c>
      <c r="AE10">
        <v>54941996.399999999</v>
      </c>
      <c r="AF10">
        <v>55942127.799999997</v>
      </c>
      <c r="AG10">
        <v>9.9999999999999995E-7</v>
      </c>
      <c r="AH10">
        <f t="shared" si="2"/>
        <v>54.941996399999994</v>
      </c>
      <c r="AI10">
        <f t="shared" si="3"/>
        <v>55.942127799999994</v>
      </c>
      <c r="AJ10">
        <v>1.007825</v>
      </c>
      <c r="AK10">
        <v>931.49</v>
      </c>
      <c r="AL10">
        <f t="shared" si="4"/>
        <v>7.1665114639963496</v>
      </c>
    </row>
    <row r="11" spans="1:38" x14ac:dyDescent="0.35">
      <c r="A11">
        <v>57</v>
      </c>
      <c r="B11">
        <v>8670.9359999999997</v>
      </c>
      <c r="C11">
        <v>1E-3</v>
      </c>
      <c r="D11">
        <f t="shared" si="5"/>
        <v>494.24335199999996</v>
      </c>
      <c r="E11">
        <f t="shared" si="6"/>
        <v>29</v>
      </c>
      <c r="F11">
        <v>56</v>
      </c>
      <c r="G11">
        <f t="shared" si="11"/>
        <v>483.99573600000002</v>
      </c>
      <c r="H11">
        <f t="shared" si="7"/>
        <v>10.247615999999937</v>
      </c>
      <c r="J11">
        <v>29</v>
      </c>
      <c r="K11">
        <v>56939791.399999999</v>
      </c>
      <c r="L11">
        <v>9.9999999999999995E-7</v>
      </c>
      <c r="M11">
        <f t="shared" si="8"/>
        <v>56.939791399999997</v>
      </c>
      <c r="N11">
        <f t="shared" si="12"/>
        <v>55.942127799999994</v>
      </c>
      <c r="O11">
        <v>1.0086649194999999</v>
      </c>
      <c r="P11">
        <v>931.49</v>
      </c>
      <c r="Q11">
        <f t="shared" si="9"/>
        <v>10.247619101051738</v>
      </c>
      <c r="T11">
        <v>56</v>
      </c>
      <c r="U11">
        <v>8694.8389999999999</v>
      </c>
      <c r="V11">
        <v>1E-3</v>
      </c>
      <c r="W11">
        <f t="shared" si="0"/>
        <v>486.91098399999998</v>
      </c>
      <c r="X11">
        <f t="shared" si="10"/>
        <v>494.24335199999996</v>
      </c>
      <c r="Y11">
        <f t="shared" si="1"/>
        <v>7.332367999999974</v>
      </c>
      <c r="AC11">
        <v>57</v>
      </c>
      <c r="AD11">
        <v>56</v>
      </c>
      <c r="AE11">
        <v>55939838</v>
      </c>
      <c r="AF11">
        <v>56939791.399999999</v>
      </c>
      <c r="AG11">
        <v>9.9999999999999995E-7</v>
      </c>
      <c r="AH11">
        <f t="shared" si="2"/>
        <v>55.939837999999995</v>
      </c>
      <c r="AI11">
        <f t="shared" si="3"/>
        <v>56.939791399999997</v>
      </c>
      <c r="AJ11">
        <v>1.007825</v>
      </c>
      <c r="AK11">
        <v>931.49</v>
      </c>
      <c r="AL11">
        <f t="shared" si="4"/>
        <v>7.3323166839947058</v>
      </c>
    </row>
    <row r="12" spans="1:38" x14ac:dyDescent="0.35">
      <c r="A12">
        <v>58</v>
      </c>
      <c r="B12">
        <v>8732.0619999999999</v>
      </c>
      <c r="C12">
        <v>1E-3</v>
      </c>
      <c r="D12">
        <f t="shared" si="5"/>
        <v>506.45959600000003</v>
      </c>
      <c r="E12">
        <f t="shared" si="6"/>
        <v>30</v>
      </c>
      <c r="F12">
        <v>57</v>
      </c>
      <c r="G12">
        <f t="shared" si="11"/>
        <v>494.24335199999996</v>
      </c>
      <c r="H12">
        <f t="shared" si="7"/>
        <v>12.216244000000074</v>
      </c>
      <c r="J12">
        <v>30</v>
      </c>
      <c r="K12">
        <v>57935341.700000003</v>
      </c>
      <c r="L12">
        <v>9.9999999999999995E-7</v>
      </c>
      <c r="M12">
        <f t="shared" si="8"/>
        <v>57.935341700000002</v>
      </c>
      <c r="N12">
        <f t="shared" si="12"/>
        <v>56.939791399999997</v>
      </c>
      <c r="O12">
        <v>1.0086649194999999</v>
      </c>
      <c r="P12">
        <v>931.49</v>
      </c>
      <c r="Q12">
        <f t="shared" si="9"/>
        <v>12.216136918049655</v>
      </c>
      <c r="T12">
        <v>57</v>
      </c>
      <c r="U12">
        <v>8741.8850000000002</v>
      </c>
      <c r="V12">
        <v>1E-3</v>
      </c>
      <c r="W12">
        <f t="shared" si="0"/>
        <v>498.28744499999999</v>
      </c>
      <c r="X12">
        <f t="shared" si="10"/>
        <v>506.45959600000003</v>
      </c>
      <c r="Y12">
        <f t="shared" si="1"/>
        <v>8.1721510000000421</v>
      </c>
      <c r="AC12">
        <v>58</v>
      </c>
      <c r="AD12">
        <v>57</v>
      </c>
      <c r="AE12">
        <v>56936289.799999997</v>
      </c>
      <c r="AF12">
        <v>57935341.700000003</v>
      </c>
      <c r="AG12">
        <v>9.9999999999999995E-7</v>
      </c>
      <c r="AH12">
        <f t="shared" si="2"/>
        <v>56.936289799999997</v>
      </c>
      <c r="AI12">
        <f t="shared" si="3"/>
        <v>57.935341700000002</v>
      </c>
      <c r="AJ12">
        <v>1.007825</v>
      </c>
      <c r="AK12">
        <v>931.49</v>
      </c>
      <c r="AL12">
        <f t="shared" si="4"/>
        <v>8.1720549189925329</v>
      </c>
    </row>
    <row r="13" spans="1:38" x14ac:dyDescent="0.35">
      <c r="A13">
        <v>59</v>
      </c>
      <c r="B13">
        <v>8736.5910000000003</v>
      </c>
      <c r="C13">
        <v>1E-3</v>
      </c>
      <c r="D13">
        <f t="shared" si="5"/>
        <v>515.45886900000005</v>
      </c>
      <c r="E13">
        <f t="shared" si="6"/>
        <v>31</v>
      </c>
      <c r="F13">
        <v>58</v>
      </c>
      <c r="G13">
        <f t="shared" si="11"/>
        <v>506.45959600000003</v>
      </c>
      <c r="H13">
        <f t="shared" si="7"/>
        <v>8.9992730000000165</v>
      </c>
      <c r="J13">
        <v>31</v>
      </c>
      <c r="K13">
        <v>58934345.399999999</v>
      </c>
      <c r="L13">
        <v>9.9999999999999995E-7</v>
      </c>
      <c r="M13">
        <f t="shared" si="8"/>
        <v>58.934345399999998</v>
      </c>
      <c r="N13">
        <f t="shared" si="12"/>
        <v>57.935341700000002</v>
      </c>
      <c r="O13">
        <v>1.0086649194999999</v>
      </c>
      <c r="P13">
        <v>931.49</v>
      </c>
      <c r="Q13">
        <f t="shared" si="9"/>
        <v>8.9993293520581918</v>
      </c>
      <c r="T13">
        <v>58</v>
      </c>
      <c r="U13">
        <v>8738.9719999999998</v>
      </c>
      <c r="V13">
        <v>1E-3</v>
      </c>
      <c r="W13">
        <f t="shared" si="0"/>
        <v>506.86037599999997</v>
      </c>
      <c r="X13">
        <f t="shared" si="10"/>
        <v>515.45886900000005</v>
      </c>
      <c r="Y13">
        <f t="shared" si="1"/>
        <v>8.5984930000000759</v>
      </c>
      <c r="AC13">
        <v>59</v>
      </c>
      <c r="AD13">
        <v>58</v>
      </c>
      <c r="AE13">
        <v>57935751.299999997</v>
      </c>
      <c r="AF13">
        <v>58934345.399999999</v>
      </c>
      <c r="AG13">
        <v>9.9999999999999995E-7</v>
      </c>
      <c r="AH13">
        <f t="shared" si="2"/>
        <v>57.935751299999993</v>
      </c>
      <c r="AI13">
        <f t="shared" si="3"/>
        <v>58.934345399999998</v>
      </c>
      <c r="AJ13">
        <v>1.007825</v>
      </c>
      <c r="AK13">
        <v>931.49</v>
      </c>
      <c r="AL13">
        <f t="shared" si="4"/>
        <v>8.5984910409920765</v>
      </c>
    </row>
    <row r="14" spans="1:38" x14ac:dyDescent="0.35">
      <c r="A14">
        <v>60</v>
      </c>
      <c r="B14">
        <v>8780.777</v>
      </c>
      <c r="C14">
        <v>1E-3</v>
      </c>
      <c r="D14">
        <f t="shared" si="5"/>
        <v>526.84662000000003</v>
      </c>
      <c r="E14">
        <f t="shared" si="6"/>
        <v>32</v>
      </c>
      <c r="F14">
        <v>59</v>
      </c>
      <c r="G14">
        <f t="shared" si="11"/>
        <v>515.45886900000005</v>
      </c>
      <c r="H14">
        <f t="shared" si="7"/>
        <v>11.38775099999998</v>
      </c>
      <c r="J14">
        <v>32</v>
      </c>
      <c r="K14">
        <v>59930785.100000001</v>
      </c>
      <c r="L14">
        <v>9.9999999999999995E-7</v>
      </c>
      <c r="M14">
        <f t="shared" si="8"/>
        <v>59.930785100000001</v>
      </c>
      <c r="N14">
        <f t="shared" si="12"/>
        <v>58.934345399999998</v>
      </c>
      <c r="O14">
        <v>1.0086649194999999</v>
      </c>
      <c r="P14">
        <v>931.49</v>
      </c>
      <c r="Q14">
        <f t="shared" si="9"/>
        <v>11.387669712051169</v>
      </c>
      <c r="T14">
        <v>59</v>
      </c>
      <c r="U14">
        <v>8768.0380000000005</v>
      </c>
      <c r="V14">
        <v>1E-3</v>
      </c>
      <c r="W14">
        <f t="shared" si="0"/>
        <v>517.31424200000004</v>
      </c>
      <c r="X14">
        <f t="shared" si="10"/>
        <v>526.84662000000003</v>
      </c>
      <c r="Y14">
        <f t="shared" si="1"/>
        <v>9.5323779999999942</v>
      </c>
      <c r="AC14">
        <v>60</v>
      </c>
      <c r="AD14">
        <v>59</v>
      </c>
      <c r="AE14">
        <v>58933193.5</v>
      </c>
      <c r="AF14">
        <v>59930785.100000001</v>
      </c>
      <c r="AG14">
        <v>9.9999999999999995E-7</v>
      </c>
      <c r="AH14">
        <f t="shared" si="2"/>
        <v>58.933193499999994</v>
      </c>
      <c r="AI14">
        <f t="shared" si="3"/>
        <v>59.930785100000001</v>
      </c>
      <c r="AJ14">
        <v>1.007825</v>
      </c>
      <c r="AK14">
        <v>931.49</v>
      </c>
      <c r="AL14">
        <f t="shared" si="4"/>
        <v>9.5323097659906448</v>
      </c>
    </row>
    <row r="15" spans="1:38" x14ac:dyDescent="0.35">
      <c r="A15">
        <v>61</v>
      </c>
      <c r="B15">
        <v>8765.0280000000002</v>
      </c>
      <c r="C15">
        <v>1E-3</v>
      </c>
      <c r="D15">
        <f t="shared" si="5"/>
        <v>534.66670799999997</v>
      </c>
      <c r="E15">
        <f t="shared" si="6"/>
        <v>33</v>
      </c>
      <c r="F15">
        <v>60</v>
      </c>
      <c r="G15">
        <f t="shared" si="11"/>
        <v>526.84662000000003</v>
      </c>
      <c r="H15">
        <f t="shared" si="7"/>
        <v>7.8200879999999415</v>
      </c>
      <c r="J15">
        <v>33</v>
      </c>
      <c r="K15">
        <v>60931054.799999997</v>
      </c>
      <c r="L15">
        <v>9.9999999999999995E-7</v>
      </c>
      <c r="M15">
        <f t="shared" si="8"/>
        <v>60.931054799999991</v>
      </c>
      <c r="N15">
        <f t="shared" si="12"/>
        <v>59.930785100000001</v>
      </c>
      <c r="O15">
        <v>1.0086649194999999</v>
      </c>
      <c r="P15">
        <v>931.49</v>
      </c>
      <c r="Q15">
        <f t="shared" si="9"/>
        <v>7.8200630120637857</v>
      </c>
      <c r="T15">
        <v>60</v>
      </c>
      <c r="U15">
        <v>8746.7690000000002</v>
      </c>
      <c r="V15">
        <v>1E-3</v>
      </c>
      <c r="W15">
        <f t="shared" si="0"/>
        <v>524.80614000000003</v>
      </c>
      <c r="X15">
        <f t="shared" si="10"/>
        <v>534.66670799999997</v>
      </c>
      <c r="Y15">
        <f t="shared" si="1"/>
        <v>9.8605679999999438</v>
      </c>
      <c r="AC15">
        <v>61</v>
      </c>
      <c r="AD15">
        <v>60</v>
      </c>
      <c r="AE15">
        <v>59933815.5</v>
      </c>
      <c r="AF15">
        <v>60931054.799999997</v>
      </c>
      <c r="AG15">
        <v>9.9999999999999995E-7</v>
      </c>
      <c r="AH15">
        <f t="shared" si="2"/>
        <v>59.933815499999994</v>
      </c>
      <c r="AI15">
        <f t="shared" si="3"/>
        <v>60.931054799999991</v>
      </c>
      <c r="AJ15">
        <v>1.007825</v>
      </c>
      <c r="AK15">
        <v>931.49</v>
      </c>
      <c r="AL15">
        <f t="shared" si="4"/>
        <v>9.8604736930000296</v>
      </c>
    </row>
    <row r="16" spans="1:38" x14ac:dyDescent="0.35">
      <c r="A16">
        <v>62</v>
      </c>
      <c r="B16">
        <v>8794.5560000000005</v>
      </c>
      <c r="C16">
        <v>1E-3</v>
      </c>
      <c r="D16">
        <f t="shared" si="5"/>
        <v>545.26247200000012</v>
      </c>
      <c r="E16">
        <f t="shared" si="6"/>
        <v>34</v>
      </c>
      <c r="F16">
        <v>61</v>
      </c>
      <c r="G16">
        <f t="shared" si="11"/>
        <v>534.66670799999997</v>
      </c>
      <c r="H16">
        <f t="shared" si="7"/>
        <v>10.595764000000145</v>
      </c>
      <c r="J16">
        <v>34</v>
      </c>
      <c r="K16">
        <v>61928344.799999997</v>
      </c>
      <c r="L16">
        <v>9.9999999999999995E-7</v>
      </c>
      <c r="M16">
        <f t="shared" si="8"/>
        <v>61.928344799999991</v>
      </c>
      <c r="N16">
        <f t="shared" si="12"/>
        <v>60.931054799999991</v>
      </c>
      <c r="O16">
        <v>1.0086649194999999</v>
      </c>
      <c r="P16">
        <v>931.49</v>
      </c>
      <c r="Q16">
        <f t="shared" si="9"/>
        <v>10.595623765054713</v>
      </c>
      <c r="T16">
        <v>61</v>
      </c>
      <c r="U16">
        <v>8756.1509999999998</v>
      </c>
      <c r="V16">
        <v>1E-3</v>
      </c>
      <c r="W16">
        <f t="shared" si="0"/>
        <v>534.12521100000004</v>
      </c>
      <c r="X16">
        <f t="shared" si="10"/>
        <v>545.26247200000012</v>
      </c>
      <c r="Y16">
        <f t="shared" si="1"/>
        <v>11.13726100000008</v>
      </c>
      <c r="AC16">
        <v>62</v>
      </c>
      <c r="AD16">
        <v>61</v>
      </c>
      <c r="AE16">
        <v>60932476</v>
      </c>
      <c r="AF16">
        <v>61928344.799999997</v>
      </c>
      <c r="AG16">
        <v>9.9999999999999995E-7</v>
      </c>
      <c r="AH16">
        <f t="shared" si="2"/>
        <v>60.932475999999994</v>
      </c>
      <c r="AI16">
        <f t="shared" si="3"/>
        <v>61.928344799999991</v>
      </c>
      <c r="AJ16">
        <v>1.007825</v>
      </c>
      <c r="AK16">
        <v>931.49</v>
      </c>
      <c r="AL16">
        <f t="shared" si="4"/>
        <v>11.137080738000181</v>
      </c>
    </row>
    <row r="17" spans="1:38" x14ac:dyDescent="0.35">
      <c r="A17">
        <v>63</v>
      </c>
      <c r="B17">
        <v>8763.4950000000008</v>
      </c>
      <c r="C17">
        <v>1E-3</v>
      </c>
      <c r="D17">
        <f t="shared" si="5"/>
        <v>552.10018500000012</v>
      </c>
      <c r="E17">
        <f t="shared" si="6"/>
        <v>35</v>
      </c>
      <c r="F17">
        <v>62</v>
      </c>
      <c r="G17">
        <f t="shared" si="11"/>
        <v>545.26247200000012</v>
      </c>
      <c r="H17">
        <f t="shared" si="7"/>
        <v>6.8377130000000079</v>
      </c>
      <c r="J17">
        <v>35</v>
      </c>
      <c r="K17">
        <v>62929669</v>
      </c>
      <c r="L17">
        <v>9.9999999999999995E-7</v>
      </c>
      <c r="M17">
        <f t="shared" si="8"/>
        <v>62.929668999999997</v>
      </c>
      <c r="N17">
        <f t="shared" si="12"/>
        <v>61.928344799999991</v>
      </c>
      <c r="O17">
        <v>1.0086649194999999</v>
      </c>
      <c r="P17">
        <v>931.49</v>
      </c>
      <c r="Q17">
        <f t="shared" si="9"/>
        <v>6.8378068070485192</v>
      </c>
      <c r="T17">
        <v>62</v>
      </c>
      <c r="U17">
        <v>8721.33</v>
      </c>
      <c r="V17">
        <v>1E-3</v>
      </c>
      <c r="W17">
        <f t="shared" si="0"/>
        <v>540.72245999999996</v>
      </c>
      <c r="X17">
        <f t="shared" si="10"/>
        <v>552.10018500000012</v>
      </c>
      <c r="Y17">
        <f t="shared" si="1"/>
        <v>11.377725000000169</v>
      </c>
      <c r="AC17">
        <v>63</v>
      </c>
      <c r="AD17">
        <v>62</v>
      </c>
      <c r="AE17">
        <v>61934058</v>
      </c>
      <c r="AF17">
        <v>62929669</v>
      </c>
      <c r="AG17">
        <v>9.9999999999999995E-7</v>
      </c>
      <c r="AH17">
        <f t="shared" si="2"/>
        <v>61.934058</v>
      </c>
      <c r="AI17">
        <f t="shared" si="3"/>
        <v>62.929668999999997</v>
      </c>
      <c r="AJ17">
        <v>1.007825</v>
      </c>
      <c r="AK17">
        <v>931.49</v>
      </c>
      <c r="AL17">
        <f t="shared" si="4"/>
        <v>11.377218860000157</v>
      </c>
    </row>
    <row r="18" spans="1:38" x14ac:dyDescent="0.35">
      <c r="A18">
        <v>64</v>
      </c>
      <c r="B18">
        <v>8777.4639999999999</v>
      </c>
      <c r="C18">
        <v>1E-3</v>
      </c>
      <c r="D18">
        <f t="shared" si="5"/>
        <v>561.75769600000001</v>
      </c>
      <c r="E18">
        <f t="shared" si="6"/>
        <v>36</v>
      </c>
      <c r="F18">
        <v>63</v>
      </c>
      <c r="G18">
        <f t="shared" si="11"/>
        <v>552.10018500000012</v>
      </c>
      <c r="H18">
        <f t="shared" si="7"/>
        <v>9.6575109999998858</v>
      </c>
      <c r="J18">
        <v>36</v>
      </c>
      <c r="K18">
        <v>63927966.200000003</v>
      </c>
      <c r="L18">
        <v>9.9999999999999995E-7</v>
      </c>
      <c r="M18">
        <f t="shared" si="8"/>
        <v>63.9279662</v>
      </c>
      <c r="N18">
        <f t="shared" si="12"/>
        <v>62.929668999999997</v>
      </c>
      <c r="O18">
        <v>1.0086649194999999</v>
      </c>
      <c r="P18">
        <v>931.49</v>
      </c>
      <c r="Q18">
        <f t="shared" si="9"/>
        <v>9.6574270370513133</v>
      </c>
      <c r="T18">
        <v>63</v>
      </c>
      <c r="U18">
        <v>8717.7999999999993</v>
      </c>
      <c r="V18">
        <v>1E-3</v>
      </c>
      <c r="W18">
        <f t="shared" si="0"/>
        <v>549.2213999999999</v>
      </c>
      <c r="X18">
        <f t="shared" si="10"/>
        <v>561.75769600000001</v>
      </c>
      <c r="Y18">
        <f t="shared" si="1"/>
        <v>12.536296000000107</v>
      </c>
      <c r="AC18">
        <v>64</v>
      </c>
      <c r="AD18">
        <v>63</v>
      </c>
      <c r="AE18">
        <v>62933600</v>
      </c>
      <c r="AF18">
        <v>63927966.200000003</v>
      </c>
      <c r="AG18">
        <v>9.9999999999999995E-7</v>
      </c>
      <c r="AH18">
        <f t="shared" si="2"/>
        <v>62.933599999999998</v>
      </c>
      <c r="AI18">
        <f t="shared" si="3"/>
        <v>63.9279662</v>
      </c>
      <c r="AJ18">
        <v>1.007825</v>
      </c>
      <c r="AK18">
        <v>931.49</v>
      </c>
      <c r="AL18">
        <f t="shared" si="4"/>
        <v>12.536737611995443</v>
      </c>
    </row>
    <row r="19" spans="1:38" x14ac:dyDescent="0.35">
      <c r="A19">
        <v>65</v>
      </c>
      <c r="B19">
        <v>8736.2420000000002</v>
      </c>
      <c r="C19">
        <v>1E-3</v>
      </c>
      <c r="D19">
        <f t="shared" si="5"/>
        <v>567.85572999999999</v>
      </c>
      <c r="E19">
        <f t="shared" si="6"/>
        <v>37</v>
      </c>
      <c r="F19">
        <v>64</v>
      </c>
      <c r="G19">
        <f t="shared" si="11"/>
        <v>561.75769600000001</v>
      </c>
      <c r="H19">
        <f t="shared" si="7"/>
        <v>6.0980339999999842</v>
      </c>
      <c r="J19">
        <v>37</v>
      </c>
      <c r="K19">
        <v>64930084.600000001</v>
      </c>
      <c r="L19">
        <v>9.9999999999999995E-7</v>
      </c>
      <c r="M19">
        <f t="shared" si="8"/>
        <v>64.930084600000001</v>
      </c>
      <c r="N19">
        <f t="shared" si="12"/>
        <v>63.9279662</v>
      </c>
      <c r="O19">
        <v>1.0086649194999999</v>
      </c>
      <c r="P19">
        <v>931.49</v>
      </c>
      <c r="Q19">
        <f t="shared" si="9"/>
        <v>6.0980174490604426</v>
      </c>
      <c r="T19">
        <v>64</v>
      </c>
      <c r="U19">
        <v>8675.5</v>
      </c>
      <c r="V19">
        <v>1E-3</v>
      </c>
      <c r="W19">
        <f t="shared" si="0"/>
        <v>555.23199999999997</v>
      </c>
      <c r="X19">
        <f t="shared" si="10"/>
        <v>567.85572999999999</v>
      </c>
      <c r="Y19">
        <f t="shared" si="1"/>
        <v>12.623730000000023</v>
      </c>
      <c r="AC19">
        <v>65</v>
      </c>
      <c r="AD19">
        <v>64</v>
      </c>
      <c r="AE19">
        <v>63935810</v>
      </c>
      <c r="AF19">
        <v>64930084.600000001</v>
      </c>
      <c r="AG19">
        <v>9.9999999999999995E-7</v>
      </c>
      <c r="AH19">
        <f t="shared" si="2"/>
        <v>63.935809999999996</v>
      </c>
      <c r="AI19">
        <f t="shared" si="3"/>
        <v>64.930084600000001</v>
      </c>
      <c r="AJ19">
        <v>1.007825</v>
      </c>
      <c r="AK19">
        <v>931.49</v>
      </c>
      <c r="AL19">
        <f t="shared" si="4"/>
        <v>12.622062095999759</v>
      </c>
    </row>
    <row r="20" spans="1:38" x14ac:dyDescent="0.35">
      <c r="A20">
        <v>66</v>
      </c>
      <c r="B20">
        <v>8739.509</v>
      </c>
      <c r="C20">
        <v>1E-3</v>
      </c>
      <c r="D20">
        <f t="shared" si="5"/>
        <v>576.80759400000011</v>
      </c>
      <c r="E20">
        <f t="shared" si="6"/>
        <v>38</v>
      </c>
      <c r="F20">
        <v>65</v>
      </c>
      <c r="G20">
        <f t="shared" si="11"/>
        <v>567.85572999999999</v>
      </c>
      <c r="H20">
        <f t="shared" si="7"/>
        <v>8.9518640000001142</v>
      </c>
      <c r="J20">
        <v>38</v>
      </c>
      <c r="K20">
        <v>65929139.299999997</v>
      </c>
      <c r="L20">
        <v>9.9999999999999995E-7</v>
      </c>
      <c r="M20">
        <f t="shared" si="8"/>
        <v>65.929139299999989</v>
      </c>
      <c r="N20">
        <f t="shared" si="12"/>
        <v>64.930084600000001</v>
      </c>
      <c r="O20">
        <v>1.0086649194999999</v>
      </c>
      <c r="P20">
        <v>931.49</v>
      </c>
      <c r="Q20">
        <f t="shared" si="9"/>
        <v>8.9518233620722345</v>
      </c>
      <c r="T20">
        <v>65</v>
      </c>
      <c r="U20">
        <v>8656.8799999999992</v>
      </c>
      <c r="V20">
        <v>1E-3</v>
      </c>
      <c r="W20">
        <f t="shared" si="0"/>
        <v>562.69719999999995</v>
      </c>
      <c r="X20">
        <f t="shared" si="10"/>
        <v>576.80759400000011</v>
      </c>
      <c r="Y20">
        <f t="shared" si="1"/>
        <v>14.110394000000156</v>
      </c>
      <c r="AC20">
        <v>66</v>
      </c>
      <c r="AD20">
        <v>65</v>
      </c>
      <c r="AE20">
        <v>64936462.100000001</v>
      </c>
      <c r="AF20">
        <v>65929139.299999997</v>
      </c>
      <c r="AG20">
        <v>9.9999999999999995E-7</v>
      </c>
      <c r="AH20">
        <f t="shared" si="2"/>
        <v>64.9364621</v>
      </c>
      <c r="AI20">
        <f t="shared" si="3"/>
        <v>65.929139299999989</v>
      </c>
      <c r="AJ20">
        <v>1.007825</v>
      </c>
      <c r="AK20">
        <v>931.49</v>
      </c>
      <c r="AL20">
        <f t="shared" si="4"/>
        <v>14.110024222007695</v>
      </c>
    </row>
    <row r="21" spans="1:38" x14ac:dyDescent="0.35">
      <c r="A21">
        <v>67</v>
      </c>
      <c r="B21">
        <v>8695.75</v>
      </c>
      <c r="C21">
        <v>1E-3</v>
      </c>
      <c r="D21">
        <f t="shared" si="5"/>
        <v>582.61525000000006</v>
      </c>
      <c r="E21">
        <f t="shared" si="6"/>
        <v>39</v>
      </c>
      <c r="F21">
        <v>66</v>
      </c>
      <c r="G21">
        <f t="shared" si="11"/>
        <v>576.80759400000011</v>
      </c>
      <c r="H21">
        <f t="shared" si="7"/>
        <v>5.8076559999999517</v>
      </c>
      <c r="J21">
        <v>39</v>
      </c>
      <c r="K21">
        <v>66931569</v>
      </c>
      <c r="L21">
        <v>9.9999999999999995E-7</v>
      </c>
      <c r="M21">
        <f t="shared" si="8"/>
        <v>66.931568999999996</v>
      </c>
      <c r="N21">
        <f t="shared" si="12"/>
        <v>65.929139299999989</v>
      </c>
      <c r="O21">
        <v>1.0086649194999999</v>
      </c>
      <c r="P21">
        <v>931.49</v>
      </c>
      <c r="Q21">
        <f t="shared" si="9"/>
        <v>5.808044612053914</v>
      </c>
      <c r="T21">
        <v>66</v>
      </c>
      <c r="U21">
        <v>8605.94</v>
      </c>
      <c r="V21">
        <v>1E-3</v>
      </c>
      <c r="W21">
        <f t="shared" si="0"/>
        <v>567.99204000000009</v>
      </c>
      <c r="X21">
        <f t="shared" si="10"/>
        <v>582.61525000000006</v>
      </c>
      <c r="Y21">
        <f t="shared" si="1"/>
        <v>14.623209999999972</v>
      </c>
      <c r="AC21">
        <v>67</v>
      </c>
      <c r="AD21">
        <v>66</v>
      </c>
      <c r="AE21">
        <v>65939443</v>
      </c>
      <c r="AF21">
        <v>66931569</v>
      </c>
      <c r="AG21">
        <v>9.9999999999999995E-7</v>
      </c>
      <c r="AH21">
        <f t="shared" si="2"/>
        <v>65.939442999999997</v>
      </c>
      <c r="AI21">
        <f t="shared" si="3"/>
        <v>66.931568999999996</v>
      </c>
      <c r="AJ21">
        <v>1.007825</v>
      </c>
      <c r="AK21">
        <v>931.49</v>
      </c>
      <c r="AL21">
        <f t="shared" si="4"/>
        <v>14.623461509998052</v>
      </c>
    </row>
    <row r="22" spans="1:38" x14ac:dyDescent="0.35">
      <c r="A22">
        <v>68</v>
      </c>
      <c r="B22">
        <v>8682.4699999999993</v>
      </c>
      <c r="C22">
        <v>1E-3</v>
      </c>
      <c r="D22">
        <f t="shared" si="5"/>
        <v>590.40796</v>
      </c>
      <c r="E22">
        <f t="shared" si="6"/>
        <v>40</v>
      </c>
      <c r="F22">
        <v>67</v>
      </c>
      <c r="G22">
        <f t="shared" si="11"/>
        <v>582.61525000000006</v>
      </c>
      <c r="H22">
        <f t="shared" si="7"/>
        <v>7.7927099999999427</v>
      </c>
      <c r="J22">
        <v>40</v>
      </c>
      <c r="K22">
        <v>67931869</v>
      </c>
      <c r="L22">
        <v>9.9999999999999995E-7</v>
      </c>
      <c r="M22">
        <f t="shared" si="8"/>
        <v>67.931868999999992</v>
      </c>
      <c r="N22">
        <f t="shared" si="12"/>
        <v>66.931568999999996</v>
      </c>
      <c r="O22">
        <v>1.0086649194999999</v>
      </c>
      <c r="P22">
        <v>931.49</v>
      </c>
      <c r="Q22">
        <f t="shared" si="9"/>
        <v>7.7918388650648875</v>
      </c>
      <c r="T22">
        <v>67</v>
      </c>
      <c r="U22">
        <v>8581.74</v>
      </c>
      <c r="V22">
        <v>1E-3</v>
      </c>
      <c r="W22">
        <f t="shared" si="0"/>
        <v>574.97658000000001</v>
      </c>
      <c r="X22">
        <f t="shared" si="10"/>
        <v>590.40796</v>
      </c>
      <c r="Y22">
        <f t="shared" si="1"/>
        <v>15.43137999999999</v>
      </c>
      <c r="AC22">
        <v>68</v>
      </c>
      <c r="AD22">
        <v>67</v>
      </c>
      <c r="AE22">
        <v>66940610</v>
      </c>
      <c r="AF22">
        <v>67931869</v>
      </c>
      <c r="AG22">
        <v>9.9999999999999995E-7</v>
      </c>
      <c r="AH22">
        <f t="shared" si="2"/>
        <v>66.940609999999992</v>
      </c>
      <c r="AI22">
        <f t="shared" si="3"/>
        <v>67.931868999999992</v>
      </c>
      <c r="AJ22">
        <v>1.007825</v>
      </c>
      <c r="AK22">
        <v>931.49</v>
      </c>
      <c r="AL22">
        <f t="shared" si="4"/>
        <v>15.431063339997593</v>
      </c>
    </row>
    <row r="23" spans="1:38" x14ac:dyDescent="0.35">
      <c r="A23">
        <v>69</v>
      </c>
      <c r="B23">
        <v>8623.1</v>
      </c>
      <c r="C23">
        <v>1E-3</v>
      </c>
      <c r="D23">
        <f>A23*B23*C23</f>
        <v>594.99390000000005</v>
      </c>
      <c r="E23">
        <f t="shared" si="6"/>
        <v>41</v>
      </c>
      <c r="F23">
        <v>68</v>
      </c>
      <c r="G23">
        <f t="shared" si="11"/>
        <v>590.40796</v>
      </c>
      <c r="H23">
        <f>D23-G23</f>
        <v>4.5859400000000505</v>
      </c>
      <c r="J23">
        <v>41</v>
      </c>
      <c r="K23">
        <v>68935610</v>
      </c>
      <c r="L23">
        <v>9.9999999999999995E-7</v>
      </c>
      <c r="M23">
        <f t="shared" si="8"/>
        <v>68.935609999999997</v>
      </c>
      <c r="N23">
        <f t="shared" si="12"/>
        <v>67.931868999999992</v>
      </c>
      <c r="O23">
        <v>1.0086649194999999</v>
      </c>
      <c r="P23">
        <v>931.49</v>
      </c>
      <c r="Q23">
        <f t="shared" si="9"/>
        <v>4.5865817750561755</v>
      </c>
      <c r="T23">
        <v>68</v>
      </c>
      <c r="U23">
        <v>8520.1299999999992</v>
      </c>
      <c r="V23">
        <v>1E-3</v>
      </c>
      <c r="W23">
        <f t="shared" si="0"/>
        <v>579.36883999999998</v>
      </c>
      <c r="X23">
        <f t="shared" si="10"/>
        <v>594.99390000000005</v>
      </c>
      <c r="Y23">
        <f t="shared" si="1"/>
        <v>15.625060000000076</v>
      </c>
      <c r="AC23">
        <v>69</v>
      </c>
      <c r="AD23">
        <v>68</v>
      </c>
      <c r="AE23">
        <v>67944559</v>
      </c>
      <c r="AF23">
        <v>68935610</v>
      </c>
      <c r="AG23">
        <v>9.9999999999999995E-7</v>
      </c>
      <c r="AH23">
        <f t="shared" si="2"/>
        <v>67.944558999999998</v>
      </c>
      <c r="AI23">
        <f t="shared" si="3"/>
        <v>68.935609999999997</v>
      </c>
      <c r="AJ23">
        <v>1.007825</v>
      </c>
      <c r="AK23">
        <v>931.49</v>
      </c>
      <c r="AL23">
        <f t="shared" si="4"/>
        <v>15.6248132599982</v>
      </c>
    </row>
    <row r="24" spans="1:38" x14ac:dyDescent="0.35">
      <c r="A24">
        <v>70</v>
      </c>
      <c r="B24">
        <v>8604.2900000000009</v>
      </c>
      <c r="C24">
        <v>1E-3</v>
      </c>
      <c r="D24">
        <f t="shared" si="5"/>
        <v>602.30030000000011</v>
      </c>
      <c r="E24">
        <f t="shared" si="6"/>
        <v>42</v>
      </c>
      <c r="F24">
        <v>69</v>
      </c>
      <c r="G24">
        <f>D23</f>
        <v>594.99390000000005</v>
      </c>
      <c r="H24">
        <f>D24-G24</f>
        <v>7.3064000000000533</v>
      </c>
      <c r="J24">
        <v>42</v>
      </c>
      <c r="K24">
        <v>69936431.299999997</v>
      </c>
      <c r="L24">
        <v>9.9999999999999995E-7</v>
      </c>
      <c r="M24">
        <f t="shared" si="8"/>
        <v>69.936431299999995</v>
      </c>
      <c r="N24">
        <f t="shared" si="12"/>
        <v>68.935609999999997</v>
      </c>
      <c r="O24">
        <v>1.0086649194999999</v>
      </c>
      <c r="P24">
        <v>931.49</v>
      </c>
      <c r="Q24">
        <f t="shared" si="9"/>
        <v>7.3062531280624547</v>
      </c>
      <c r="T24">
        <v>69</v>
      </c>
      <c r="U24">
        <v>8495.4</v>
      </c>
      <c r="V24">
        <v>1E-3</v>
      </c>
      <c r="W24">
        <f t="shared" si="0"/>
        <v>586.18259999999998</v>
      </c>
      <c r="X24">
        <f t="shared" si="10"/>
        <v>602.30030000000011</v>
      </c>
      <c r="Y24">
        <f t="shared" si="1"/>
        <v>16.117700000000127</v>
      </c>
      <c r="AC24">
        <v>70</v>
      </c>
      <c r="AD24">
        <v>69</v>
      </c>
      <c r="AE24">
        <v>68945910</v>
      </c>
      <c r="AF24">
        <v>69936431.299999997</v>
      </c>
      <c r="AG24">
        <v>9.9999999999999995E-7</v>
      </c>
      <c r="AH24">
        <f t="shared" si="2"/>
        <v>68.945909999999998</v>
      </c>
      <c r="AI24">
        <f t="shared" si="3"/>
        <v>69.936431299999995</v>
      </c>
      <c r="AJ24">
        <v>1.007825</v>
      </c>
      <c r="AK24">
        <v>931.49</v>
      </c>
      <c r="AL24">
        <f t="shared" si="4"/>
        <v>16.11822351299941</v>
      </c>
    </row>
    <row r="25" spans="1:38" x14ac:dyDescent="0.35">
      <c r="A25">
        <v>71</v>
      </c>
      <c r="B25">
        <v>8543.16</v>
      </c>
      <c r="C25">
        <v>1E-3</v>
      </c>
      <c r="D25">
        <f t="shared" si="5"/>
        <v>606.56435999999997</v>
      </c>
      <c r="E25">
        <f t="shared" si="6"/>
        <v>43</v>
      </c>
      <c r="F25">
        <v>70</v>
      </c>
      <c r="G25">
        <f>D24</f>
        <v>602.30030000000011</v>
      </c>
      <c r="H25">
        <f t="shared" si="7"/>
        <v>4.2640599999998585</v>
      </c>
      <c r="J25">
        <v>43</v>
      </c>
      <c r="K25">
        <v>70940519</v>
      </c>
      <c r="L25">
        <v>9.9999999999999995E-7</v>
      </c>
      <c r="M25">
        <f t="shared" si="8"/>
        <v>70.940518999999995</v>
      </c>
      <c r="N25">
        <f t="shared" si="12"/>
        <v>69.936431299999995</v>
      </c>
      <c r="O25">
        <v>1.0086649194999999</v>
      </c>
      <c r="P25">
        <v>931.49</v>
      </c>
      <c r="Q25">
        <f t="shared" si="9"/>
        <v>4.263634192061418</v>
      </c>
      <c r="T25">
        <v>70</v>
      </c>
      <c r="U25">
        <v>8434.2000000000007</v>
      </c>
      <c r="V25">
        <v>1E-3</v>
      </c>
      <c r="W25">
        <f t="shared" si="0"/>
        <v>590.39400000000001</v>
      </c>
      <c r="X25">
        <f t="shared" si="10"/>
        <v>606.56435999999997</v>
      </c>
      <c r="Y25">
        <f t="shared" si="1"/>
        <v>16.17035999999996</v>
      </c>
      <c r="AC25">
        <v>71</v>
      </c>
      <c r="AD25">
        <v>70</v>
      </c>
      <c r="AE25">
        <v>69950053</v>
      </c>
      <c r="AF25">
        <v>70940519</v>
      </c>
      <c r="AG25">
        <v>9.9999999999999995E-7</v>
      </c>
      <c r="AH25">
        <f t="shared" si="2"/>
        <v>69.950052999999997</v>
      </c>
      <c r="AI25">
        <f t="shared" si="3"/>
        <v>70.940518999999995</v>
      </c>
      <c r="AJ25">
        <v>1.007825</v>
      </c>
      <c r="AK25">
        <v>931.49</v>
      </c>
      <c r="AL25">
        <f t="shared" si="4"/>
        <v>16.169734909999082</v>
      </c>
    </row>
    <row r="26" spans="1:38" x14ac:dyDescent="0.35">
      <c r="A26">
        <v>72</v>
      </c>
      <c r="B26">
        <v>8520.2099999999991</v>
      </c>
      <c r="C26">
        <v>1E-3</v>
      </c>
      <c r="D26">
        <f t="shared" si="5"/>
        <v>613.45511999999985</v>
      </c>
      <c r="E26">
        <f t="shared" si="6"/>
        <v>44</v>
      </c>
      <c r="F26">
        <v>71</v>
      </c>
      <c r="G26">
        <f t="shared" si="11"/>
        <v>606.56435999999997</v>
      </c>
      <c r="H26">
        <f t="shared" si="7"/>
        <v>6.8907599999998865</v>
      </c>
      <c r="J26">
        <v>44</v>
      </c>
      <c r="K26">
        <v>71941785.900000006</v>
      </c>
      <c r="L26">
        <v>9.9999999999999995E-7</v>
      </c>
      <c r="M26">
        <f t="shared" si="8"/>
        <v>71.941785899999999</v>
      </c>
      <c r="N26">
        <f t="shared" si="12"/>
        <v>70.940518999999995</v>
      </c>
      <c r="O26">
        <v>1.0086649194999999</v>
      </c>
      <c r="P26">
        <v>931.49</v>
      </c>
      <c r="Q26">
        <f t="shared" si="9"/>
        <v>6.8911811840567241</v>
      </c>
      <c r="T26">
        <v>71</v>
      </c>
      <c r="U26">
        <v>8399</v>
      </c>
      <c r="V26">
        <v>1E-3</v>
      </c>
      <c r="W26">
        <f t="shared" si="0"/>
        <v>596.32900000000006</v>
      </c>
      <c r="X26">
        <f t="shared" si="10"/>
        <v>613.45511999999985</v>
      </c>
      <c r="Y26">
        <f t="shared" si="1"/>
        <v>17.126119999999787</v>
      </c>
      <c r="AC26">
        <v>72</v>
      </c>
      <c r="AD26">
        <v>71</v>
      </c>
      <c r="AE26">
        <v>70952370</v>
      </c>
      <c r="AF26">
        <v>71941785.900000006</v>
      </c>
      <c r="AG26">
        <v>9.9999999999999995E-7</v>
      </c>
      <c r="AH26">
        <f t="shared" si="2"/>
        <v>70.952370000000002</v>
      </c>
      <c r="AI26">
        <f t="shared" si="3"/>
        <v>71.941785899999999</v>
      </c>
      <c r="AJ26">
        <v>1.007825</v>
      </c>
      <c r="AK26">
        <v>931.49</v>
      </c>
      <c r="AL26">
        <f t="shared" si="4"/>
        <v>17.147892558999544</v>
      </c>
    </row>
    <row r="27" spans="1:38" x14ac:dyDescent="0.35">
      <c r="A27">
        <v>73</v>
      </c>
      <c r="B27">
        <v>8457.65</v>
      </c>
      <c r="C27">
        <v>1E-3</v>
      </c>
      <c r="D27">
        <f t="shared" si="5"/>
        <v>617.40845000000002</v>
      </c>
      <c r="E27">
        <f t="shared" si="6"/>
        <v>45</v>
      </c>
      <c r="F27">
        <v>72</v>
      </c>
      <c r="G27">
        <f t="shared" si="11"/>
        <v>613.45511999999985</v>
      </c>
      <c r="H27">
        <f t="shared" si="7"/>
        <v>3.9533300000001645</v>
      </c>
      <c r="J27">
        <v>45</v>
      </c>
      <c r="K27">
        <v>72946206.700000003</v>
      </c>
      <c r="L27">
        <v>9.9999999999999995E-7</v>
      </c>
      <c r="M27">
        <f t="shared" si="8"/>
        <v>72.946206700000005</v>
      </c>
      <c r="N27">
        <f t="shared" si="12"/>
        <v>71.941785899999999</v>
      </c>
      <c r="O27">
        <v>1.0086649194999999</v>
      </c>
      <c r="P27">
        <v>931.49</v>
      </c>
      <c r="Q27">
        <f t="shared" si="9"/>
        <v>3.953354873055857</v>
      </c>
      <c r="T27">
        <v>72</v>
      </c>
      <c r="U27">
        <v>8338</v>
      </c>
      <c r="V27">
        <v>1E-3</v>
      </c>
      <c r="W27">
        <f t="shared" si="0"/>
        <v>600.33600000000001</v>
      </c>
      <c r="X27">
        <f t="shared" si="10"/>
        <v>617.40845000000002</v>
      </c>
      <c r="Y27">
        <f t="shared" si="1"/>
        <v>17.072450000000003</v>
      </c>
      <c r="AC27">
        <v>73</v>
      </c>
      <c r="AD27">
        <v>72</v>
      </c>
      <c r="AE27">
        <v>71956740</v>
      </c>
      <c r="AF27">
        <v>72946206.700000003</v>
      </c>
      <c r="AG27">
        <v>9.9999999999999995E-7</v>
      </c>
      <c r="AH27">
        <f t="shared" si="2"/>
        <v>71.956739999999996</v>
      </c>
      <c r="AI27">
        <f t="shared" si="3"/>
        <v>72.946206700000005</v>
      </c>
      <c r="AJ27">
        <v>1.007825</v>
      </c>
      <c r="AK27">
        <v>931.49</v>
      </c>
      <c r="AL27">
        <f t="shared" si="4"/>
        <v>17.100572866989292</v>
      </c>
    </row>
    <row r="28" spans="1:38" x14ac:dyDescent="0.35">
      <c r="A28">
        <v>74</v>
      </c>
      <c r="B28">
        <v>8433</v>
      </c>
      <c r="C28">
        <v>1E-3</v>
      </c>
      <c r="D28">
        <f t="shared" si="5"/>
        <v>624.04200000000003</v>
      </c>
      <c r="E28">
        <f t="shared" si="6"/>
        <v>46</v>
      </c>
      <c r="F28">
        <v>73</v>
      </c>
      <c r="G28">
        <f t="shared" si="11"/>
        <v>617.40845000000002</v>
      </c>
      <c r="H28">
        <f t="shared" si="7"/>
        <v>6.6335500000000138</v>
      </c>
      <c r="J28">
        <v>46</v>
      </c>
      <c r="K28">
        <v>73947720</v>
      </c>
      <c r="L28">
        <v>9.9999999999999995E-7</v>
      </c>
      <c r="M28">
        <f t="shared" si="8"/>
        <v>73.94771999999999</v>
      </c>
      <c r="N28">
        <f t="shared" si="12"/>
        <v>72.946206700000005</v>
      </c>
      <c r="O28">
        <v>1.0086649194999999</v>
      </c>
      <c r="P28">
        <v>931.49</v>
      </c>
      <c r="Q28">
        <f t="shared" si="9"/>
        <v>6.6616620480749447</v>
      </c>
      <c r="T28">
        <v>73</v>
      </c>
      <c r="U28">
        <v>8302</v>
      </c>
      <c r="V28">
        <v>1E-3</v>
      </c>
      <c r="W28">
        <f t="shared" si="0"/>
        <v>606.04600000000005</v>
      </c>
      <c r="X28">
        <f t="shared" si="10"/>
        <v>624.04200000000003</v>
      </c>
      <c r="Y28">
        <f t="shared" si="1"/>
        <v>17.995999999999981</v>
      </c>
      <c r="AC28">
        <v>74</v>
      </c>
      <c r="AD28">
        <v>73</v>
      </c>
      <c r="AE28">
        <v>72959240</v>
      </c>
      <c r="AF28">
        <v>73947720</v>
      </c>
      <c r="AG28">
        <v>9.9999999999999995E-7</v>
      </c>
      <c r="AH28">
        <f t="shared" si="2"/>
        <v>72.959239999999994</v>
      </c>
      <c r="AI28">
        <f t="shared" si="3"/>
        <v>73.94771999999999</v>
      </c>
      <c r="AJ28">
        <v>1.007825</v>
      </c>
      <c r="AK28">
        <v>931.49</v>
      </c>
      <c r="AL28">
        <f t="shared" si="4"/>
        <v>18.019674050001189</v>
      </c>
    </row>
    <row r="29" spans="1:38" x14ac:dyDescent="0.35">
      <c r="A29">
        <v>75</v>
      </c>
      <c r="B29">
        <v>8369</v>
      </c>
      <c r="C29">
        <v>1E-3</v>
      </c>
      <c r="D29">
        <f t="shared" si="5"/>
        <v>627.67500000000007</v>
      </c>
      <c r="E29">
        <f t="shared" si="6"/>
        <v>47</v>
      </c>
      <c r="F29">
        <v>74</v>
      </c>
      <c r="G29">
        <f t="shared" si="11"/>
        <v>624.04200000000003</v>
      </c>
      <c r="H29">
        <f t="shared" si="7"/>
        <v>3.6330000000000382</v>
      </c>
      <c r="J29">
        <v>47</v>
      </c>
      <c r="K29">
        <v>74952510</v>
      </c>
      <c r="L29">
        <v>9.9999999999999995E-7</v>
      </c>
      <c r="M29">
        <f t="shared" si="8"/>
        <v>74.95250999999999</v>
      </c>
      <c r="N29">
        <f t="shared" si="12"/>
        <v>73.94771999999999</v>
      </c>
      <c r="O29">
        <v>1.0086649194999999</v>
      </c>
      <c r="P29">
        <v>931.49</v>
      </c>
      <c r="Q29">
        <f t="shared" si="9"/>
        <v>3.6094487650610665</v>
      </c>
      <c r="T29">
        <v>74</v>
      </c>
      <c r="U29">
        <v>8239</v>
      </c>
      <c r="V29">
        <v>1E-3</v>
      </c>
      <c r="W29">
        <f t="shared" si="0"/>
        <v>609.68600000000004</v>
      </c>
      <c r="X29">
        <f t="shared" si="10"/>
        <v>627.67500000000007</v>
      </c>
      <c r="Y29">
        <f t="shared" si="1"/>
        <v>17.989000000000033</v>
      </c>
      <c r="AC29">
        <v>75</v>
      </c>
      <c r="AD29">
        <v>74</v>
      </c>
      <c r="AE29">
        <v>73963990</v>
      </c>
      <c r="AF29">
        <v>74952510</v>
      </c>
      <c r="AG29">
        <v>9.9999999999999995E-7</v>
      </c>
      <c r="AH29">
        <f t="shared" si="2"/>
        <v>73.963989999999995</v>
      </c>
      <c r="AI29">
        <f t="shared" si="3"/>
        <v>74.95250999999999</v>
      </c>
      <c r="AJ29">
        <v>1.007825</v>
      </c>
      <c r="AK29">
        <v>931.49</v>
      </c>
      <c r="AL29">
        <f t="shared" si="4"/>
        <v>17.982414450002601</v>
      </c>
    </row>
    <row r="30" spans="1:38" x14ac:dyDescent="0.35">
      <c r="A30">
        <v>76</v>
      </c>
      <c r="B30">
        <v>8338</v>
      </c>
      <c r="C30">
        <v>1E-3</v>
      </c>
      <c r="D30">
        <f t="shared" si="5"/>
        <v>633.68799999999999</v>
      </c>
      <c r="E30">
        <f t="shared" si="6"/>
        <v>48</v>
      </c>
      <c r="F30">
        <v>75</v>
      </c>
      <c r="G30">
        <f t="shared" si="11"/>
        <v>627.67500000000007</v>
      </c>
      <c r="H30">
        <f t="shared" si="7"/>
        <v>6.01299999999992</v>
      </c>
      <c r="J30">
        <v>48</v>
      </c>
      <c r="K30">
        <v>75954710</v>
      </c>
      <c r="L30">
        <v>9.9999999999999995E-7</v>
      </c>
      <c r="M30">
        <f t="shared" si="8"/>
        <v>75.954709999999992</v>
      </c>
      <c r="N30">
        <f t="shared" si="12"/>
        <v>74.95250999999999</v>
      </c>
      <c r="O30">
        <v>1.0086649194999999</v>
      </c>
      <c r="P30">
        <v>931.49</v>
      </c>
      <c r="Q30">
        <f t="shared" si="9"/>
        <v>6.0220078650590843</v>
      </c>
      <c r="T30">
        <v>75</v>
      </c>
      <c r="U30">
        <v>8197</v>
      </c>
      <c r="V30">
        <v>1E-3</v>
      </c>
      <c r="W30">
        <f t="shared" si="0"/>
        <v>614.77499999999998</v>
      </c>
      <c r="X30">
        <f t="shared" si="10"/>
        <v>633.68799999999999</v>
      </c>
      <c r="Y30">
        <f t="shared" si="1"/>
        <v>18.913000000000011</v>
      </c>
      <c r="AC30">
        <v>76</v>
      </c>
      <c r="AD30">
        <v>75</v>
      </c>
      <c r="AE30">
        <v>74967190</v>
      </c>
      <c r="AF30">
        <v>75954710</v>
      </c>
      <c r="AG30">
        <v>9.9999999999999995E-7</v>
      </c>
      <c r="AH30">
        <f t="shared" si="2"/>
        <v>74.967190000000002</v>
      </c>
      <c r="AI30">
        <f t="shared" si="3"/>
        <v>75.954709999999992</v>
      </c>
      <c r="AJ30">
        <v>1.007825</v>
      </c>
      <c r="AK30">
        <v>931.49</v>
      </c>
      <c r="AL30">
        <f t="shared" si="4"/>
        <v>18.913904450007049</v>
      </c>
    </row>
    <row r="31" spans="1:38" x14ac:dyDescent="0.35">
      <c r="A31">
        <v>77</v>
      </c>
      <c r="B31">
        <v>8272</v>
      </c>
      <c r="C31">
        <v>1E-3</v>
      </c>
      <c r="D31">
        <f t="shared" si="5"/>
        <v>636.94399999999996</v>
      </c>
      <c r="E31">
        <f t="shared" si="6"/>
        <v>49</v>
      </c>
      <c r="F31">
        <v>76</v>
      </c>
      <c r="G31">
        <f t="shared" si="11"/>
        <v>633.68799999999999</v>
      </c>
      <c r="H31">
        <f t="shared" si="7"/>
        <v>3.2559999999999718</v>
      </c>
      <c r="J31">
        <v>49</v>
      </c>
      <c r="K31">
        <v>76959900</v>
      </c>
      <c r="L31">
        <v>9.9999999999999995E-7</v>
      </c>
      <c r="M31">
        <f t="shared" si="8"/>
        <v>76.95989999999999</v>
      </c>
      <c r="N31">
        <f t="shared" si="12"/>
        <v>75.954709999999992</v>
      </c>
      <c r="O31">
        <v>1.0086649194999999</v>
      </c>
      <c r="P31">
        <v>931.49</v>
      </c>
      <c r="Q31">
        <f t="shared" si="9"/>
        <v>3.236852765061935</v>
      </c>
      <c r="T31">
        <v>76</v>
      </c>
      <c r="U31">
        <v>8131</v>
      </c>
      <c r="V31">
        <v>1E-3</v>
      </c>
      <c r="W31">
        <f t="shared" si="0"/>
        <v>617.95600000000002</v>
      </c>
      <c r="X31">
        <f t="shared" si="10"/>
        <v>636.94399999999996</v>
      </c>
      <c r="Y31">
        <f t="shared" si="1"/>
        <v>18.987999999999943</v>
      </c>
      <c r="AC31">
        <v>77</v>
      </c>
      <c r="AD31">
        <v>76</v>
      </c>
      <c r="AE31">
        <v>75972450</v>
      </c>
      <c r="AF31">
        <v>76959900</v>
      </c>
      <c r="AG31">
        <v>9.9999999999999995E-7</v>
      </c>
      <c r="AH31">
        <f t="shared" si="2"/>
        <v>75.972449999999995</v>
      </c>
      <c r="AI31">
        <f t="shared" si="3"/>
        <v>76.95989999999999</v>
      </c>
      <c r="AJ31">
        <v>1.007825</v>
      </c>
      <c r="AK31">
        <v>931.49</v>
      </c>
      <c r="AL31">
        <f t="shared" si="4"/>
        <v>18.97910875000127</v>
      </c>
    </row>
    <row r="32" spans="1:38" x14ac:dyDescent="0.35">
      <c r="A32">
        <v>78</v>
      </c>
      <c r="B32">
        <v>8238</v>
      </c>
      <c r="C32">
        <v>1E-3</v>
      </c>
      <c r="D32">
        <f t="shared" si="5"/>
        <v>642.56399999999996</v>
      </c>
      <c r="E32">
        <f t="shared" si="6"/>
        <v>50</v>
      </c>
      <c r="F32">
        <v>77</v>
      </c>
      <c r="G32">
        <f t="shared" si="11"/>
        <v>636.94399999999996</v>
      </c>
      <c r="H32">
        <f t="shared" si="7"/>
        <v>5.6200000000000045</v>
      </c>
      <c r="J32">
        <v>50</v>
      </c>
      <c r="K32">
        <v>77962560</v>
      </c>
      <c r="L32">
        <v>9.9999999999999995E-7</v>
      </c>
      <c r="M32">
        <f t="shared" si="8"/>
        <v>77.962559999999996</v>
      </c>
      <c r="N32">
        <f t="shared" si="12"/>
        <v>76.95989999999999</v>
      </c>
      <c r="O32">
        <v>1.0086649194999999</v>
      </c>
      <c r="P32">
        <v>931.49</v>
      </c>
      <c r="Q32">
        <f t="shared" si="9"/>
        <v>5.5935224650554503</v>
      </c>
      <c r="T32">
        <v>77</v>
      </c>
      <c r="U32">
        <v>8082</v>
      </c>
      <c r="V32">
        <v>1E-3</v>
      </c>
      <c r="W32">
        <f t="shared" si="0"/>
        <v>622.31399999999996</v>
      </c>
      <c r="X32">
        <f t="shared" si="10"/>
        <v>642.56399999999996</v>
      </c>
      <c r="Y32">
        <f t="shared" si="1"/>
        <v>20.25</v>
      </c>
      <c r="AC32">
        <v>78</v>
      </c>
      <c r="AD32">
        <v>77</v>
      </c>
      <c r="AE32">
        <v>76976480</v>
      </c>
      <c r="AF32">
        <v>77962560</v>
      </c>
      <c r="AG32">
        <v>9.9999999999999995E-7</v>
      </c>
      <c r="AH32">
        <f t="shared" si="2"/>
        <v>76.976479999999995</v>
      </c>
      <c r="AI32">
        <f t="shared" si="3"/>
        <v>77.962559999999996</v>
      </c>
      <c r="AJ32">
        <v>1.007825</v>
      </c>
      <c r="AK32">
        <v>931.49</v>
      </c>
      <c r="AL32">
        <f t="shared" si="4"/>
        <v>20.255250049995979</v>
      </c>
    </row>
    <row r="33" spans="1:38" x14ac:dyDescent="0.35">
      <c r="A33">
        <v>79</v>
      </c>
      <c r="B33">
        <v>8150</v>
      </c>
      <c r="C33">
        <v>1E-3</v>
      </c>
      <c r="D33">
        <f t="shared" si="5"/>
        <v>643.85</v>
      </c>
      <c r="E33">
        <f t="shared" si="6"/>
        <v>51</v>
      </c>
      <c r="F33">
        <v>78</v>
      </c>
      <c r="G33">
        <f t="shared" si="11"/>
        <v>642.56399999999996</v>
      </c>
      <c r="H33">
        <f t="shared" si="7"/>
        <v>1.2860000000000582</v>
      </c>
      <c r="J33">
        <v>51</v>
      </c>
      <c r="K33">
        <v>78969770</v>
      </c>
      <c r="L33">
        <v>9.9999999999999995E-7</v>
      </c>
      <c r="M33">
        <f t="shared" si="8"/>
        <v>78.969769999999997</v>
      </c>
      <c r="N33">
        <f t="shared" si="12"/>
        <v>77.962559999999996</v>
      </c>
      <c r="O33">
        <v>1.0086649194999999</v>
      </c>
      <c r="P33">
        <v>931.49</v>
      </c>
      <c r="Q33">
        <f t="shared" si="9"/>
        <v>1.3552429650603635</v>
      </c>
      <c r="T33">
        <v>78</v>
      </c>
      <c r="U33">
        <v>7997</v>
      </c>
      <c r="V33">
        <v>1E-3</v>
      </c>
      <c r="W33">
        <f t="shared" si="0"/>
        <v>623.76599999999996</v>
      </c>
      <c r="X33">
        <f t="shared" si="10"/>
        <v>643.85</v>
      </c>
      <c r="Y33">
        <f t="shared" si="1"/>
        <v>20.08400000000006</v>
      </c>
      <c r="AC33">
        <v>79</v>
      </c>
      <c r="AD33">
        <v>78</v>
      </c>
      <c r="AE33">
        <v>77983550</v>
      </c>
      <c r="AF33">
        <v>78969770</v>
      </c>
      <c r="AG33">
        <v>9.9999999999999995E-7</v>
      </c>
      <c r="AH33">
        <f t="shared" si="2"/>
        <v>77.983549999999994</v>
      </c>
      <c r="AI33">
        <f t="shared" si="3"/>
        <v>78.969769999999997</v>
      </c>
      <c r="AJ33">
        <v>1.007825</v>
      </c>
      <c r="AK33">
        <v>931.49</v>
      </c>
      <c r="AL33">
        <f t="shared" si="4"/>
        <v>20.1248414499943</v>
      </c>
    </row>
    <row r="34" spans="1:38" x14ac:dyDescent="0.35">
      <c r="A34">
        <v>80</v>
      </c>
      <c r="B34">
        <v>8088</v>
      </c>
      <c r="C34">
        <v>1E-3</v>
      </c>
      <c r="D34">
        <f t="shared" si="5"/>
        <v>647.04</v>
      </c>
      <c r="E34">
        <f t="shared" si="6"/>
        <v>52</v>
      </c>
      <c r="F34">
        <v>79</v>
      </c>
      <c r="G34">
        <f t="shared" si="11"/>
        <v>643.85</v>
      </c>
      <c r="H34">
        <f t="shared" si="7"/>
        <v>3.1899999999999409</v>
      </c>
      <c r="J34">
        <v>52</v>
      </c>
      <c r="K34">
        <v>79975050</v>
      </c>
      <c r="L34">
        <v>9.9999999999999995E-7</v>
      </c>
      <c r="M34">
        <f t="shared" si="8"/>
        <v>79.975049999999996</v>
      </c>
      <c r="N34">
        <f t="shared" si="12"/>
        <v>78.969769999999997</v>
      </c>
      <c r="O34">
        <v>1.0086649194999999</v>
      </c>
      <c r="P34">
        <v>931.49</v>
      </c>
      <c r="Q34">
        <f t="shared" si="9"/>
        <v>3.1530186650617997</v>
      </c>
    </row>
    <row r="35" spans="1:38" x14ac:dyDescent="0.35">
      <c r="A35">
        <v>81</v>
      </c>
      <c r="B35">
        <v>8000</v>
      </c>
      <c r="C35">
        <v>1E-3</v>
      </c>
      <c r="D35">
        <f t="shared" si="5"/>
        <v>648</v>
      </c>
      <c r="E35">
        <f t="shared" si="6"/>
        <v>53</v>
      </c>
      <c r="F35">
        <v>80</v>
      </c>
      <c r="G35">
        <f t="shared" si="11"/>
        <v>647.04</v>
      </c>
      <c r="H35">
        <f t="shared" si="7"/>
        <v>0.96000000000003638</v>
      </c>
      <c r="J35">
        <v>53</v>
      </c>
      <c r="K35">
        <v>80982730</v>
      </c>
      <c r="L35">
        <v>9.9999999999999995E-7</v>
      </c>
      <c r="M35">
        <f t="shared" si="8"/>
        <v>80.982729999999989</v>
      </c>
      <c r="N35">
        <f t="shared" si="12"/>
        <v>79.975049999999996</v>
      </c>
      <c r="O35">
        <v>1.0086649194999999</v>
      </c>
      <c r="P35">
        <v>931.49</v>
      </c>
      <c r="Q35">
        <f t="shared" si="9"/>
        <v>0.91744266506700967</v>
      </c>
    </row>
    <row r="36" spans="1:38" x14ac:dyDescent="0.35">
      <c r="A36">
        <v>82</v>
      </c>
      <c r="B36">
        <v>7935</v>
      </c>
      <c r="C36">
        <v>1E-3</v>
      </c>
      <c r="D36">
        <f t="shared" si="5"/>
        <v>650.66999999999996</v>
      </c>
      <c r="E36">
        <f t="shared" si="6"/>
        <v>54</v>
      </c>
      <c r="F36">
        <v>81</v>
      </c>
      <c r="G36">
        <f t="shared" si="11"/>
        <v>648</v>
      </c>
      <c r="H36">
        <f t="shared" si="7"/>
        <v>2.6699999999999591</v>
      </c>
      <c r="J36">
        <v>54</v>
      </c>
      <c r="K36">
        <v>81988490</v>
      </c>
      <c r="L36">
        <v>9.9999999999999995E-7</v>
      </c>
      <c r="M36">
        <f t="shared" si="8"/>
        <v>81.988489999999999</v>
      </c>
      <c r="N36">
        <f t="shared" si="12"/>
        <v>80.982729999999989</v>
      </c>
      <c r="O36">
        <v>1.0086649194999999</v>
      </c>
      <c r="P36">
        <v>931.49</v>
      </c>
      <c r="Q36">
        <f t="shared" si="9"/>
        <v>2.7059034650522515</v>
      </c>
    </row>
    <row r="37" spans="1:38" x14ac:dyDescent="0.35">
      <c r="P37" t="s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AEBD-3AAA-402F-9015-C58CDEB99DD7}">
  <dimension ref="A1:AM42"/>
  <sheetViews>
    <sheetView zoomScale="63" workbookViewId="0">
      <selection activeCell="R14" sqref="R14:R29"/>
    </sheetView>
  </sheetViews>
  <sheetFormatPr defaultRowHeight="14.5" x14ac:dyDescent="0.35"/>
  <cols>
    <col min="12" max="12" width="12.54296875" customWidth="1"/>
    <col min="13" max="13" width="11.1796875" customWidth="1"/>
    <col min="24" max="24" width="11.36328125" customWidth="1"/>
    <col min="25" max="25" width="9.81640625" customWidth="1"/>
    <col min="32" max="32" width="12.08984375" customWidth="1"/>
    <col min="33" max="33" width="13" customWidth="1"/>
    <col min="34" max="34" width="10.54296875" customWidth="1"/>
    <col min="35" max="35" width="11" customWidth="1"/>
  </cols>
  <sheetData>
    <row r="1" spans="1:39" x14ac:dyDescent="0.35">
      <c r="A1" t="s">
        <v>1</v>
      </c>
      <c r="B1" t="s">
        <v>10</v>
      </c>
      <c r="D1" t="s">
        <v>12</v>
      </c>
      <c r="F1" t="s">
        <v>4</v>
      </c>
      <c r="G1" t="s">
        <v>12</v>
      </c>
      <c r="H1" t="s">
        <v>14</v>
      </c>
      <c r="K1" t="s">
        <v>16</v>
      </c>
      <c r="L1" t="s">
        <v>22</v>
      </c>
      <c r="M1" t="s">
        <v>29</v>
      </c>
      <c r="N1" t="s">
        <v>27</v>
      </c>
      <c r="O1" t="s">
        <v>25</v>
      </c>
      <c r="P1" t="s">
        <v>26</v>
      </c>
      <c r="Q1" t="s">
        <v>21</v>
      </c>
      <c r="R1" t="s">
        <v>13</v>
      </c>
      <c r="U1" t="s">
        <v>37</v>
      </c>
      <c r="V1" t="s">
        <v>48</v>
      </c>
      <c r="W1" t="s">
        <v>42</v>
      </c>
      <c r="X1" t="s">
        <v>45</v>
      </c>
      <c r="Y1" t="s">
        <v>52</v>
      </c>
      <c r="Z1" t="s">
        <v>35</v>
      </c>
      <c r="AB1" t="s">
        <v>32</v>
      </c>
      <c r="AC1" t="s">
        <v>1</v>
      </c>
      <c r="AF1" t="s">
        <v>40</v>
      </c>
      <c r="AG1" t="s">
        <v>39</v>
      </c>
      <c r="AH1" t="s">
        <v>46</v>
      </c>
      <c r="AI1" t="s">
        <v>41</v>
      </c>
      <c r="AJ1" t="s">
        <v>50</v>
      </c>
      <c r="AK1" t="s">
        <v>47</v>
      </c>
      <c r="AL1" t="s">
        <v>18</v>
      </c>
      <c r="AM1" t="s">
        <v>35</v>
      </c>
    </row>
    <row r="2" spans="1:39" x14ac:dyDescent="0.35">
      <c r="A2">
        <v>100</v>
      </c>
      <c r="B2">
        <v>8251.6</v>
      </c>
      <c r="C2">
        <v>1E-3</v>
      </c>
      <c r="D2">
        <f>A2*B2*C2</f>
        <v>825.16</v>
      </c>
      <c r="F2">
        <v>99</v>
      </c>
      <c r="G2">
        <v>807.93899999999996</v>
      </c>
      <c r="H2">
        <f>D2-G2</f>
        <v>17.221000000000004</v>
      </c>
      <c r="K2">
        <v>50</v>
      </c>
      <c r="L2">
        <v>99938650</v>
      </c>
      <c r="M2">
        <v>9.9999999999999995E-7</v>
      </c>
      <c r="N2">
        <f>M2*L2</f>
        <v>99.938649999999996</v>
      </c>
      <c r="O2">
        <v>98.948499999999996</v>
      </c>
      <c r="P2">
        <v>1.0086649194999999</v>
      </c>
      <c r="Q2">
        <v>931.49</v>
      </c>
      <c r="R2">
        <f>(O2+P2-N2)*Q2</f>
        <v>17.246462365061053</v>
      </c>
      <c r="U2">
        <v>98</v>
      </c>
      <c r="V2">
        <v>8230</v>
      </c>
      <c r="W2">
        <v>1E-3</v>
      </c>
      <c r="X2">
        <f>W2*V2*U2</f>
        <v>806.54000000000008</v>
      </c>
      <c r="Y2">
        <v>807.93899999999996</v>
      </c>
      <c r="Z2">
        <f>Y2-X2</f>
        <v>1.3989999999998872</v>
      </c>
      <c r="AC2">
        <v>99</v>
      </c>
      <c r="AF2">
        <v>97942130</v>
      </c>
      <c r="AG2">
        <v>98948500</v>
      </c>
      <c r="AH2">
        <v>9.9999999999999995E-7</v>
      </c>
      <c r="AI2">
        <f>AH2*AF2</f>
        <v>97.942129999999992</v>
      </c>
      <c r="AJ2">
        <f>AG2*AH2</f>
        <v>98.948499999999996</v>
      </c>
      <c r="AK2">
        <v>1.007825</v>
      </c>
      <c r="AL2">
        <v>931.49</v>
      </c>
      <c r="AM2">
        <f>(AI2+AK2-AJ2)*AL2</f>
        <v>1.3553179499933665</v>
      </c>
    </row>
    <row r="3" spans="1:39" x14ac:dyDescent="0.35">
      <c r="A3">
        <v>101</v>
      </c>
      <c r="B3">
        <v>8281.1</v>
      </c>
      <c r="C3">
        <v>1E-3</v>
      </c>
      <c r="D3">
        <f t="shared" ref="D3:D42" si="0">A3*B3*C3</f>
        <v>836.39110000000016</v>
      </c>
      <c r="F3">
        <v>100</v>
      </c>
      <c r="G3">
        <f>D2</f>
        <v>825.16</v>
      </c>
      <c r="H3">
        <f t="shared" ref="H3:H42" si="1">D3-G3</f>
        <v>11.231100000000197</v>
      </c>
      <c r="K3">
        <v>51</v>
      </c>
      <c r="L3">
        <v>100935260</v>
      </c>
      <c r="M3">
        <v>9.9999999999999995E-7</v>
      </c>
      <c r="N3">
        <f t="shared" ref="N3:N42" si="2">M3*L3</f>
        <v>100.93526</v>
      </c>
      <c r="O3">
        <f>N2</f>
        <v>99.938649999999996</v>
      </c>
      <c r="P3">
        <v>1.0086649194999999</v>
      </c>
      <c r="Q3">
        <v>931.49</v>
      </c>
      <c r="R3">
        <f t="shared" ref="R3:R42" si="3">(O3+P3-N3)*Q3</f>
        <v>11.229036965057208</v>
      </c>
      <c r="U3">
        <v>99</v>
      </c>
      <c r="V3">
        <v>8304</v>
      </c>
      <c r="W3">
        <v>1E-3</v>
      </c>
      <c r="X3">
        <f t="shared" ref="X3:X41" si="4">W3*V3*U3</f>
        <v>822.096</v>
      </c>
      <c r="Y3">
        <f>D2</f>
        <v>825.16</v>
      </c>
      <c r="Z3">
        <f t="shared" ref="Z3:Z41" si="5">Y3-X3</f>
        <v>3.0639999999999645</v>
      </c>
      <c r="AC3">
        <v>100</v>
      </c>
      <c r="AF3">
        <v>98934110</v>
      </c>
      <c r="AG3">
        <f>L2</f>
        <v>99938650</v>
      </c>
      <c r="AH3">
        <v>9.9999999999999995E-7</v>
      </c>
      <c r="AI3">
        <f t="shared" ref="AI3:AI41" si="6">AH3*AF3</f>
        <v>98.93410999999999</v>
      </c>
      <c r="AJ3">
        <f t="shared" ref="AJ3:AJ41" si="7">AG3*AH3</f>
        <v>99.938649999999996</v>
      </c>
      <c r="AK3">
        <v>1.007825</v>
      </c>
      <c r="AL3">
        <v>931.49</v>
      </c>
      <c r="AM3">
        <f t="shared" ref="AM3:AM41" si="8">(AI3+AK3-AJ3)*AL3</f>
        <v>3.0599446499917105</v>
      </c>
    </row>
    <row r="4" spans="1:39" x14ac:dyDescent="0.35">
      <c r="A4">
        <v>102</v>
      </c>
      <c r="B4">
        <v>8324.4</v>
      </c>
      <c r="C4">
        <v>1E-3</v>
      </c>
      <c r="D4">
        <f t="shared" si="0"/>
        <v>849.08879999999999</v>
      </c>
      <c r="F4">
        <v>101</v>
      </c>
      <c r="G4">
        <f t="shared" ref="G4:G42" si="9">D3</f>
        <v>836.39110000000016</v>
      </c>
      <c r="H4">
        <f t="shared" si="1"/>
        <v>12.697699999999827</v>
      </c>
      <c r="K4">
        <v>52</v>
      </c>
      <c r="L4">
        <v>101930290</v>
      </c>
      <c r="M4">
        <v>9.9999999999999995E-7</v>
      </c>
      <c r="N4">
        <f t="shared" si="2"/>
        <v>101.93029</v>
      </c>
      <c r="O4">
        <f t="shared" ref="O4:O42" si="10">N3</f>
        <v>100.93526</v>
      </c>
      <c r="P4">
        <v>1.0086649194999999</v>
      </c>
      <c r="Q4">
        <v>931.49</v>
      </c>
      <c r="R4">
        <f t="shared" si="3"/>
        <v>12.700791165061059</v>
      </c>
      <c r="U4">
        <v>100</v>
      </c>
      <c r="V4">
        <v>8329.7489999999998</v>
      </c>
      <c r="W4">
        <v>1E-3</v>
      </c>
      <c r="X4">
        <f t="shared" si="4"/>
        <v>832.97489999999993</v>
      </c>
      <c r="Y4">
        <f t="shared" ref="Y4:Y41" si="11">D3</f>
        <v>836.39110000000016</v>
      </c>
      <c r="Z4">
        <f t="shared" si="5"/>
        <v>3.4162000000002308</v>
      </c>
      <c r="AC4">
        <v>101</v>
      </c>
      <c r="AF4">
        <v>99938650</v>
      </c>
      <c r="AG4">
        <f t="shared" ref="AG4:AG41" si="12">L3</f>
        <v>100935260</v>
      </c>
      <c r="AH4">
        <v>9.9999999999999995E-7</v>
      </c>
      <c r="AI4">
        <f t="shared" si="6"/>
        <v>99.938649999999996</v>
      </c>
      <c r="AJ4">
        <f t="shared" si="7"/>
        <v>100.93526</v>
      </c>
      <c r="AK4">
        <v>1.007825</v>
      </c>
      <c r="AL4">
        <v>931.49</v>
      </c>
      <c r="AM4">
        <f t="shared" si="8"/>
        <v>10.446660349993358</v>
      </c>
    </row>
    <row r="5" spans="1:39" x14ac:dyDescent="0.35">
      <c r="A5">
        <v>103</v>
      </c>
      <c r="B5">
        <v>8343</v>
      </c>
      <c r="C5">
        <v>1E-3</v>
      </c>
      <c r="D5">
        <f t="shared" si="0"/>
        <v>859.32900000000006</v>
      </c>
      <c r="F5">
        <v>102</v>
      </c>
      <c r="G5">
        <f t="shared" si="9"/>
        <v>849.08879999999999</v>
      </c>
      <c r="H5">
        <f t="shared" si="1"/>
        <v>10.240200000000073</v>
      </c>
      <c r="K5">
        <v>53</v>
      </c>
      <c r="L5">
        <v>102927970</v>
      </c>
      <c r="M5">
        <v>9.9999999999999995E-7</v>
      </c>
      <c r="N5">
        <f t="shared" si="2"/>
        <v>102.92797</v>
      </c>
      <c r="O5">
        <f t="shared" si="10"/>
        <v>101.93029</v>
      </c>
      <c r="P5">
        <v>1.0086649194999999</v>
      </c>
      <c r="Q5">
        <v>931.49</v>
      </c>
      <c r="R5">
        <f t="shared" si="3"/>
        <v>10.232342665058537</v>
      </c>
      <c r="U5">
        <v>101</v>
      </c>
      <c r="V5">
        <v>8370.43</v>
      </c>
      <c r="W5">
        <v>1E-3</v>
      </c>
      <c r="X5">
        <f t="shared" si="4"/>
        <v>845.41343000000006</v>
      </c>
      <c r="Y5">
        <f t="shared" si="11"/>
        <v>849.08879999999999</v>
      </c>
      <c r="Z5">
        <f t="shared" si="5"/>
        <v>3.6753699999999299</v>
      </c>
      <c r="AC5">
        <v>102</v>
      </c>
      <c r="AF5">
        <v>100926414</v>
      </c>
      <c r="AG5">
        <f t="shared" si="12"/>
        <v>101930290</v>
      </c>
      <c r="AH5">
        <v>9.9999999999999995E-7</v>
      </c>
      <c r="AI5">
        <f t="shared" si="6"/>
        <v>100.92641399999999</v>
      </c>
      <c r="AJ5">
        <f t="shared" si="7"/>
        <v>101.93029</v>
      </c>
      <c r="AK5">
        <v>1.007825</v>
      </c>
      <c r="AL5">
        <v>931.49</v>
      </c>
      <c r="AM5">
        <f t="shared" si="8"/>
        <v>3.6784540099921221</v>
      </c>
    </row>
    <row r="6" spans="1:39" x14ac:dyDescent="0.35">
      <c r="A6">
        <v>104</v>
      </c>
      <c r="B6">
        <v>8383.91</v>
      </c>
      <c r="C6">
        <v>1E-3</v>
      </c>
      <c r="D6">
        <f t="shared" si="0"/>
        <v>871.92664000000002</v>
      </c>
      <c r="F6">
        <v>103</v>
      </c>
      <c r="G6">
        <f t="shared" si="9"/>
        <v>859.32900000000006</v>
      </c>
      <c r="H6">
        <f t="shared" si="1"/>
        <v>12.597639999999956</v>
      </c>
      <c r="K6">
        <v>54</v>
      </c>
      <c r="L6">
        <v>103923105</v>
      </c>
      <c r="M6">
        <v>9.9999999999999995E-7</v>
      </c>
      <c r="N6">
        <f t="shared" si="2"/>
        <v>103.92310499999999</v>
      </c>
      <c r="O6">
        <f t="shared" si="10"/>
        <v>102.92797</v>
      </c>
      <c r="P6">
        <v>1.0086649194999999</v>
      </c>
      <c r="Q6">
        <v>931.49</v>
      </c>
      <c r="R6">
        <f t="shared" si="3"/>
        <v>12.602984715069725</v>
      </c>
      <c r="U6">
        <v>102</v>
      </c>
      <c r="V6">
        <v>8388.57</v>
      </c>
      <c r="W6">
        <v>1E-3</v>
      </c>
      <c r="X6">
        <f t="shared" si="4"/>
        <v>855.63414</v>
      </c>
      <c r="Y6">
        <f t="shared" si="11"/>
        <v>859.32900000000006</v>
      </c>
      <c r="Z6">
        <f t="shared" si="5"/>
        <v>3.6948600000000624</v>
      </c>
      <c r="AC6">
        <v>103</v>
      </c>
      <c r="AF6">
        <v>101924106</v>
      </c>
      <c r="AG6">
        <f t="shared" si="12"/>
        <v>102927970</v>
      </c>
      <c r="AH6">
        <v>9.9999999999999995E-7</v>
      </c>
      <c r="AI6">
        <f t="shared" si="6"/>
        <v>101.92410599999999</v>
      </c>
      <c r="AJ6">
        <f t="shared" si="7"/>
        <v>102.92797</v>
      </c>
      <c r="AK6">
        <v>1.007825</v>
      </c>
      <c r="AL6">
        <v>931.49</v>
      </c>
      <c r="AM6">
        <f t="shared" si="8"/>
        <v>3.6896318899903751</v>
      </c>
    </row>
    <row r="7" spans="1:39" x14ac:dyDescent="0.35">
      <c r="A7">
        <v>105</v>
      </c>
      <c r="B7">
        <v>8397.23</v>
      </c>
      <c r="C7">
        <v>1E-3</v>
      </c>
      <c r="D7">
        <f t="shared" si="0"/>
        <v>881.70914999999991</v>
      </c>
      <c r="F7">
        <v>104</v>
      </c>
      <c r="G7">
        <f t="shared" si="9"/>
        <v>871.92664000000002</v>
      </c>
      <c r="H7">
        <f t="shared" si="1"/>
        <v>9.7825099999998884</v>
      </c>
      <c r="K7">
        <v>55</v>
      </c>
      <c r="L7">
        <v>104921268</v>
      </c>
      <c r="M7">
        <v>9.9999999999999995E-7</v>
      </c>
      <c r="N7">
        <f t="shared" si="2"/>
        <v>104.921268</v>
      </c>
      <c r="O7">
        <f t="shared" si="10"/>
        <v>103.92310499999999</v>
      </c>
      <c r="P7">
        <v>1.0086649194999999</v>
      </c>
      <c r="Q7">
        <v>931.49</v>
      </c>
      <c r="R7">
        <f t="shared" si="3"/>
        <v>9.7824329950560447</v>
      </c>
      <c r="U7">
        <v>103</v>
      </c>
      <c r="V7">
        <v>8423.7199999999993</v>
      </c>
      <c r="W7">
        <v>1E-3</v>
      </c>
      <c r="X7">
        <f t="shared" si="4"/>
        <v>867.64315999999997</v>
      </c>
      <c r="Y7">
        <f t="shared" si="11"/>
        <v>871.92664000000002</v>
      </c>
      <c r="Z7">
        <f t="shared" si="5"/>
        <v>4.2834800000000541</v>
      </c>
      <c r="AC7">
        <v>104</v>
      </c>
      <c r="AF7">
        <v>102919879</v>
      </c>
      <c r="AG7">
        <f t="shared" si="12"/>
        <v>103923105</v>
      </c>
      <c r="AH7">
        <v>9.9999999999999995E-7</v>
      </c>
      <c r="AI7">
        <f t="shared" si="6"/>
        <v>102.91987899999999</v>
      </c>
      <c r="AJ7">
        <f t="shared" si="7"/>
        <v>103.92310499999999</v>
      </c>
      <c r="AK7">
        <v>1.007825</v>
      </c>
      <c r="AL7">
        <v>931.49</v>
      </c>
      <c r="AM7">
        <f t="shared" si="8"/>
        <v>4.2839225099989839</v>
      </c>
    </row>
    <row r="8" spans="1:39" x14ac:dyDescent="0.35">
      <c r="A8">
        <v>106</v>
      </c>
      <c r="B8">
        <v>8432.0400000000009</v>
      </c>
      <c r="C8">
        <v>1E-3</v>
      </c>
      <c r="D8">
        <f t="shared" si="0"/>
        <v>893.79624000000013</v>
      </c>
      <c r="F8">
        <v>105</v>
      </c>
      <c r="G8">
        <f t="shared" si="9"/>
        <v>881.70914999999991</v>
      </c>
      <c r="H8">
        <f t="shared" si="1"/>
        <v>12.087090000000217</v>
      </c>
      <c r="K8">
        <v>56</v>
      </c>
      <c r="L8">
        <v>105916957</v>
      </c>
      <c r="M8">
        <v>9.9999999999999995E-7</v>
      </c>
      <c r="N8">
        <f t="shared" si="2"/>
        <v>105.916957</v>
      </c>
      <c r="O8">
        <f t="shared" si="10"/>
        <v>104.921268</v>
      </c>
      <c r="P8">
        <v>1.0086649194999999</v>
      </c>
      <c r="Q8">
        <v>931.49</v>
      </c>
      <c r="R8">
        <f t="shared" si="3"/>
        <v>12.086939255062125</v>
      </c>
      <c r="U8">
        <v>104</v>
      </c>
      <c r="V8">
        <v>8435.24</v>
      </c>
      <c r="W8">
        <v>1E-3</v>
      </c>
      <c r="X8">
        <f t="shared" si="4"/>
        <v>877.26495999999997</v>
      </c>
      <c r="Y8">
        <f t="shared" si="11"/>
        <v>881.70914999999991</v>
      </c>
      <c r="Z8">
        <f t="shared" si="5"/>
        <v>4.444189999999935</v>
      </c>
      <c r="AC8">
        <v>105</v>
      </c>
      <c r="AF8">
        <v>103918215</v>
      </c>
      <c r="AG8">
        <f t="shared" si="12"/>
        <v>104921268</v>
      </c>
      <c r="AH8">
        <v>9.9999999999999995E-7</v>
      </c>
      <c r="AI8">
        <f t="shared" si="6"/>
        <v>103.91821499999999</v>
      </c>
      <c r="AJ8">
        <f t="shared" si="7"/>
        <v>104.921268</v>
      </c>
      <c r="AK8">
        <v>1.007825</v>
      </c>
      <c r="AL8">
        <v>931.49</v>
      </c>
      <c r="AM8">
        <f t="shared" si="8"/>
        <v>4.4450702799892436</v>
      </c>
    </row>
    <row r="9" spans="1:39" x14ac:dyDescent="0.35">
      <c r="A9">
        <v>107</v>
      </c>
      <c r="B9">
        <v>8439.49</v>
      </c>
      <c r="C9">
        <v>1E-3</v>
      </c>
      <c r="D9">
        <f t="shared" si="0"/>
        <v>903.02542999999991</v>
      </c>
      <c r="F9">
        <v>106</v>
      </c>
      <c r="G9">
        <f t="shared" si="9"/>
        <v>893.79624000000013</v>
      </c>
      <c r="H9">
        <f t="shared" si="1"/>
        <v>9.2291899999997895</v>
      </c>
      <c r="K9">
        <v>57</v>
      </c>
      <c r="L9">
        <v>106915714</v>
      </c>
      <c r="M9">
        <v>9.9999999999999995E-7</v>
      </c>
      <c r="N9">
        <f t="shared" si="2"/>
        <v>106.91571399999999</v>
      </c>
      <c r="O9">
        <f t="shared" si="10"/>
        <v>105.916957</v>
      </c>
      <c r="P9">
        <v>1.0086649194999999</v>
      </c>
      <c r="Q9">
        <v>931.49</v>
      </c>
      <c r="R9">
        <f t="shared" si="3"/>
        <v>9.2291279350630937</v>
      </c>
      <c r="U9">
        <v>105</v>
      </c>
      <c r="V9">
        <v>8464.7000000000007</v>
      </c>
      <c r="W9">
        <v>1E-3</v>
      </c>
      <c r="X9">
        <f t="shared" si="4"/>
        <v>888.79350000000011</v>
      </c>
      <c r="Y9">
        <f t="shared" si="11"/>
        <v>893.79624000000013</v>
      </c>
      <c r="Z9">
        <f t="shared" si="5"/>
        <v>5.0027400000000171</v>
      </c>
      <c r="AC9">
        <v>106</v>
      </c>
      <c r="AF9">
        <v>104914502</v>
      </c>
      <c r="AG9">
        <f t="shared" si="12"/>
        <v>105916957</v>
      </c>
      <c r="AH9">
        <v>9.9999999999999995E-7</v>
      </c>
      <c r="AI9">
        <f t="shared" si="6"/>
        <v>104.914502</v>
      </c>
      <c r="AJ9">
        <f t="shared" si="7"/>
        <v>105.916957</v>
      </c>
      <c r="AK9">
        <v>1.007825</v>
      </c>
      <c r="AL9">
        <v>931.49</v>
      </c>
      <c r="AM9">
        <f t="shared" si="8"/>
        <v>5.0021012999992633</v>
      </c>
    </row>
    <row r="10" spans="1:39" x14ac:dyDescent="0.35">
      <c r="A10">
        <v>108</v>
      </c>
      <c r="B10">
        <v>8469.0300000000007</v>
      </c>
      <c r="C10">
        <v>1E-3</v>
      </c>
      <c r="D10">
        <f t="shared" si="0"/>
        <v>914.65524000000016</v>
      </c>
      <c r="F10">
        <v>107</v>
      </c>
      <c r="G10">
        <f t="shared" si="9"/>
        <v>903.02542999999991</v>
      </c>
      <c r="H10">
        <f t="shared" si="1"/>
        <v>11.629810000000248</v>
      </c>
      <c r="K10">
        <v>58</v>
      </c>
      <c r="L10">
        <v>107911894</v>
      </c>
      <c r="M10">
        <v>9.9999999999999995E-7</v>
      </c>
      <c r="N10">
        <f t="shared" si="2"/>
        <v>107.91189399999999</v>
      </c>
      <c r="O10">
        <f t="shared" si="10"/>
        <v>106.91571399999999</v>
      </c>
      <c r="P10">
        <v>1.0086649194999999</v>
      </c>
      <c r="Q10">
        <v>931.49</v>
      </c>
      <c r="R10">
        <f t="shared" si="3"/>
        <v>11.629577665065209</v>
      </c>
      <c r="U10">
        <v>106</v>
      </c>
      <c r="V10">
        <v>8470.1200000000008</v>
      </c>
      <c r="W10">
        <v>1E-3</v>
      </c>
      <c r="X10">
        <f t="shared" si="4"/>
        <v>897.83272000000011</v>
      </c>
      <c r="Y10">
        <f t="shared" si="11"/>
        <v>903.02542999999991</v>
      </c>
      <c r="Z10">
        <f t="shared" si="5"/>
        <v>5.1927099999998063</v>
      </c>
      <c r="AC10">
        <v>107</v>
      </c>
      <c r="AF10">
        <v>105913464</v>
      </c>
      <c r="AG10">
        <f t="shared" si="12"/>
        <v>106915714</v>
      </c>
      <c r="AH10">
        <v>9.9999999999999995E-7</v>
      </c>
      <c r="AI10">
        <f t="shared" si="6"/>
        <v>105.91346399999999</v>
      </c>
      <c r="AJ10">
        <f t="shared" si="7"/>
        <v>106.91571399999999</v>
      </c>
      <c r="AK10">
        <v>1.007825</v>
      </c>
      <c r="AL10">
        <v>931.49</v>
      </c>
      <c r="AM10">
        <f t="shared" si="8"/>
        <v>5.1930567499936888</v>
      </c>
    </row>
    <row r="11" spans="1:39" x14ac:dyDescent="0.35">
      <c r="A11">
        <v>109</v>
      </c>
      <c r="B11">
        <v>8470.52</v>
      </c>
      <c r="C11">
        <v>1E-3</v>
      </c>
      <c r="D11">
        <f t="shared" si="0"/>
        <v>923.28668000000005</v>
      </c>
      <c r="F11">
        <v>108</v>
      </c>
      <c r="G11">
        <f t="shared" si="9"/>
        <v>914.65524000000016</v>
      </c>
      <c r="H11">
        <f t="shared" si="1"/>
        <v>8.6314399999998841</v>
      </c>
      <c r="K11">
        <v>59</v>
      </c>
      <c r="L11">
        <v>108911293</v>
      </c>
      <c r="M11">
        <v>9.9999999999999995E-7</v>
      </c>
      <c r="N11">
        <f t="shared" si="2"/>
        <v>108.911293</v>
      </c>
      <c r="O11">
        <f t="shared" si="10"/>
        <v>107.91189399999999</v>
      </c>
      <c r="P11">
        <v>1.0086649194999999</v>
      </c>
      <c r="Q11">
        <v>931.49</v>
      </c>
      <c r="R11">
        <f t="shared" si="3"/>
        <v>8.6311113550506544</v>
      </c>
      <c r="U11">
        <v>107</v>
      </c>
      <c r="V11">
        <v>8494.0400000000009</v>
      </c>
      <c r="W11">
        <v>1E-3</v>
      </c>
      <c r="X11">
        <f t="shared" si="4"/>
        <v>908.86228000000017</v>
      </c>
      <c r="Y11">
        <f t="shared" si="11"/>
        <v>914.65524000000016</v>
      </c>
      <c r="Z11">
        <f t="shared" si="5"/>
        <v>5.7929599999999937</v>
      </c>
      <c r="AC11">
        <v>108</v>
      </c>
      <c r="AF11">
        <v>106910287</v>
      </c>
      <c r="AG11">
        <f t="shared" si="12"/>
        <v>107911894</v>
      </c>
      <c r="AH11">
        <v>9.9999999999999995E-7</v>
      </c>
      <c r="AI11">
        <f t="shared" si="6"/>
        <v>106.910287</v>
      </c>
      <c r="AJ11">
        <f t="shared" si="7"/>
        <v>107.91189399999999</v>
      </c>
      <c r="AK11">
        <v>1.007825</v>
      </c>
      <c r="AL11">
        <v>931.49</v>
      </c>
      <c r="AM11">
        <f t="shared" si="8"/>
        <v>5.7920048200037764</v>
      </c>
    </row>
    <row r="12" spans="1:39" x14ac:dyDescent="0.35">
      <c r="A12">
        <v>110</v>
      </c>
      <c r="B12">
        <v>8496.09</v>
      </c>
      <c r="C12">
        <v>1E-3</v>
      </c>
      <c r="D12">
        <f t="shared" si="0"/>
        <v>934.56990000000008</v>
      </c>
      <c r="F12">
        <v>109</v>
      </c>
      <c r="G12">
        <f t="shared" si="9"/>
        <v>923.28668000000005</v>
      </c>
      <c r="H12">
        <f t="shared" si="1"/>
        <v>11.283220000000028</v>
      </c>
      <c r="K12">
        <v>60</v>
      </c>
      <c r="L12">
        <v>109907845</v>
      </c>
      <c r="M12">
        <v>9.9999999999999995E-7</v>
      </c>
      <c r="N12">
        <f t="shared" si="2"/>
        <v>109.90784499999999</v>
      </c>
      <c r="O12">
        <f t="shared" si="10"/>
        <v>108.911293</v>
      </c>
      <c r="P12">
        <v>1.0086649194999999</v>
      </c>
      <c r="Q12">
        <v>931.49</v>
      </c>
      <c r="R12">
        <f t="shared" si="3"/>
        <v>11.283063385066415</v>
      </c>
      <c r="U12">
        <v>108</v>
      </c>
      <c r="V12">
        <v>8495.25</v>
      </c>
      <c r="W12">
        <v>1E-3</v>
      </c>
      <c r="X12">
        <f t="shared" si="4"/>
        <v>917.48700000000008</v>
      </c>
      <c r="Y12">
        <f t="shared" si="11"/>
        <v>923.28668000000005</v>
      </c>
      <c r="Z12">
        <f t="shared" si="5"/>
        <v>5.7996799999999666</v>
      </c>
      <c r="AC12">
        <v>109</v>
      </c>
      <c r="AF12">
        <v>107909694</v>
      </c>
      <c r="AG12">
        <f t="shared" si="12"/>
        <v>108911293</v>
      </c>
      <c r="AH12">
        <v>9.9999999999999995E-7</v>
      </c>
      <c r="AI12">
        <f t="shared" si="6"/>
        <v>107.909694</v>
      </c>
      <c r="AJ12">
        <f t="shared" si="7"/>
        <v>108.911293</v>
      </c>
      <c r="AK12">
        <v>1.007825</v>
      </c>
      <c r="AL12">
        <v>931.49</v>
      </c>
      <c r="AM12">
        <f t="shared" si="8"/>
        <v>5.7994567399981989</v>
      </c>
    </row>
    <row r="13" spans="1:39" x14ac:dyDescent="0.35">
      <c r="A13">
        <v>111</v>
      </c>
      <c r="B13">
        <v>8493.1299999999992</v>
      </c>
      <c r="C13">
        <v>1E-3</v>
      </c>
      <c r="D13">
        <f t="shared" si="0"/>
        <v>942.7374299999999</v>
      </c>
      <c r="F13">
        <v>110</v>
      </c>
      <c r="G13">
        <f t="shared" si="9"/>
        <v>934.56990000000008</v>
      </c>
      <c r="H13">
        <f t="shared" si="1"/>
        <v>8.1675299999998288</v>
      </c>
      <c r="K13">
        <v>61</v>
      </c>
      <c r="L13">
        <v>110907741</v>
      </c>
      <c r="M13">
        <v>9.9999999999999995E-7</v>
      </c>
      <c r="N13">
        <f t="shared" si="2"/>
        <v>110.907741</v>
      </c>
      <c r="O13">
        <f t="shared" si="10"/>
        <v>109.90784499999999</v>
      </c>
      <c r="P13">
        <v>1.0086649194999999</v>
      </c>
      <c r="Q13">
        <v>931.49</v>
      </c>
      <c r="R13">
        <f t="shared" si="3"/>
        <v>8.1681608250546116</v>
      </c>
      <c r="U13">
        <v>109</v>
      </c>
      <c r="V13">
        <v>8513.1</v>
      </c>
      <c r="W13">
        <v>1E-3</v>
      </c>
      <c r="X13">
        <f t="shared" si="4"/>
        <v>927.92789999999991</v>
      </c>
      <c r="Y13">
        <f t="shared" si="11"/>
        <v>934.56990000000008</v>
      </c>
      <c r="Z13">
        <f t="shared" si="5"/>
        <v>6.6420000000001664</v>
      </c>
      <c r="AC13">
        <v>110</v>
      </c>
      <c r="AF13">
        <v>108907150</v>
      </c>
      <c r="AG13">
        <f t="shared" si="12"/>
        <v>109907845</v>
      </c>
      <c r="AH13">
        <v>9.9999999999999995E-7</v>
      </c>
      <c r="AI13">
        <f t="shared" si="6"/>
        <v>108.90715</v>
      </c>
      <c r="AJ13">
        <f t="shared" si="7"/>
        <v>109.90784499999999</v>
      </c>
      <c r="AK13">
        <v>1.007825</v>
      </c>
      <c r="AL13">
        <v>931.49</v>
      </c>
      <c r="AM13">
        <f t="shared" si="8"/>
        <v>6.6415237000033844</v>
      </c>
    </row>
    <row r="14" spans="1:39" x14ac:dyDescent="0.35">
      <c r="A14">
        <v>112</v>
      </c>
      <c r="B14">
        <v>8513.6190000000006</v>
      </c>
      <c r="C14">
        <v>1E-3</v>
      </c>
      <c r="D14">
        <f t="shared" si="0"/>
        <v>953.52532800000017</v>
      </c>
      <c r="F14">
        <v>111</v>
      </c>
      <c r="G14">
        <f t="shared" si="9"/>
        <v>942.7374299999999</v>
      </c>
      <c r="H14">
        <f t="shared" si="1"/>
        <v>10.787898000000268</v>
      </c>
      <c r="K14">
        <v>62</v>
      </c>
      <c r="L14">
        <v>111904824.90000001</v>
      </c>
      <c r="M14">
        <v>9.9999999999999995E-7</v>
      </c>
      <c r="N14">
        <f t="shared" si="2"/>
        <v>111.90482489999999</v>
      </c>
      <c r="O14">
        <f t="shared" si="10"/>
        <v>110.907741</v>
      </c>
      <c r="P14">
        <v>1.0086649194999999</v>
      </c>
      <c r="Q14">
        <v>931.49</v>
      </c>
      <c r="R14">
        <f t="shared" si="3"/>
        <v>10.787603854067731</v>
      </c>
      <c r="U14">
        <v>110</v>
      </c>
      <c r="V14">
        <v>8508.91</v>
      </c>
      <c r="W14">
        <v>1E-3</v>
      </c>
      <c r="X14">
        <f t="shared" si="4"/>
        <v>935.98009999999999</v>
      </c>
      <c r="Y14">
        <f t="shared" si="11"/>
        <v>942.7374299999999</v>
      </c>
      <c r="Z14">
        <f t="shared" si="5"/>
        <v>6.7573299999999108</v>
      </c>
      <c r="AC14">
        <v>111</v>
      </c>
      <c r="AF14">
        <v>109907171</v>
      </c>
      <c r="AG14">
        <f t="shared" si="12"/>
        <v>110907741</v>
      </c>
      <c r="AH14">
        <v>9.9999999999999995E-7</v>
      </c>
      <c r="AI14">
        <f t="shared" si="6"/>
        <v>109.90717099999999</v>
      </c>
      <c r="AJ14">
        <f t="shared" si="7"/>
        <v>110.907741</v>
      </c>
      <c r="AK14">
        <v>1.007825</v>
      </c>
      <c r="AL14">
        <v>931.49</v>
      </c>
      <c r="AM14">
        <f t="shared" si="8"/>
        <v>6.7579599499873941</v>
      </c>
    </row>
    <row r="15" spans="1:39" x14ac:dyDescent="0.35">
      <c r="A15">
        <v>113</v>
      </c>
      <c r="B15">
        <v>8506.8119999999999</v>
      </c>
      <c r="C15">
        <v>1E-3</v>
      </c>
      <c r="D15">
        <f t="shared" si="0"/>
        <v>961.26975599999992</v>
      </c>
      <c r="F15">
        <v>112</v>
      </c>
      <c r="G15">
        <f t="shared" si="9"/>
        <v>953.52532800000017</v>
      </c>
      <c r="H15">
        <f t="shared" si="1"/>
        <v>7.7444279999997434</v>
      </c>
      <c r="K15">
        <v>63</v>
      </c>
      <c r="L15">
        <v>112905175.90000001</v>
      </c>
      <c r="M15">
        <v>9.9999999999999995E-7</v>
      </c>
      <c r="N15">
        <f t="shared" si="2"/>
        <v>112.9051759</v>
      </c>
      <c r="O15">
        <f t="shared" si="10"/>
        <v>111.90482489999999</v>
      </c>
      <c r="P15">
        <v>1.0086649194999999</v>
      </c>
      <c r="Q15">
        <v>931.49</v>
      </c>
      <c r="R15">
        <f t="shared" si="3"/>
        <v>7.7443328750524563</v>
      </c>
      <c r="U15">
        <v>111</v>
      </c>
      <c r="V15">
        <v>8522.2800000000007</v>
      </c>
      <c r="W15">
        <v>1E-3</v>
      </c>
      <c r="X15">
        <f t="shared" si="4"/>
        <v>945.97307999999998</v>
      </c>
      <c r="Y15">
        <f t="shared" si="11"/>
        <v>953.52532800000017</v>
      </c>
      <c r="Z15">
        <f t="shared" si="5"/>
        <v>7.5522480000001906</v>
      </c>
      <c r="AC15">
        <v>112</v>
      </c>
      <c r="AF15">
        <v>110905107</v>
      </c>
      <c r="AG15">
        <f t="shared" si="12"/>
        <v>111904824.90000001</v>
      </c>
      <c r="AH15">
        <v>9.9999999999999995E-7</v>
      </c>
      <c r="AI15">
        <f t="shared" si="6"/>
        <v>110.905107</v>
      </c>
      <c r="AJ15">
        <f t="shared" si="7"/>
        <v>111.90482489999999</v>
      </c>
      <c r="AK15">
        <v>1.007825</v>
      </c>
      <c r="AL15">
        <v>931.49</v>
      </c>
      <c r="AM15">
        <f t="shared" si="8"/>
        <v>7.5516825790034439</v>
      </c>
    </row>
    <row r="16" spans="1:39" x14ac:dyDescent="0.35">
      <c r="A16">
        <v>114</v>
      </c>
      <c r="B16">
        <v>8522.5669999999991</v>
      </c>
      <c r="C16">
        <v>1E-3</v>
      </c>
      <c r="D16">
        <f t="shared" si="0"/>
        <v>971.57263799999998</v>
      </c>
      <c r="F16">
        <v>113</v>
      </c>
      <c r="G16">
        <f t="shared" si="9"/>
        <v>961.26975599999992</v>
      </c>
      <c r="H16">
        <f t="shared" si="1"/>
        <v>10.302882000000068</v>
      </c>
      <c r="K16">
        <v>64</v>
      </c>
      <c r="L16">
        <v>113902780.13</v>
      </c>
      <c r="M16">
        <v>9.9999999999999995E-7</v>
      </c>
      <c r="N16">
        <f t="shared" si="2"/>
        <v>113.90278013</v>
      </c>
      <c r="O16">
        <f t="shared" si="10"/>
        <v>112.9051759</v>
      </c>
      <c r="P16">
        <v>1.0086649194999999</v>
      </c>
      <c r="Q16">
        <v>931.49</v>
      </c>
      <c r="R16">
        <f t="shared" si="3"/>
        <v>10.302921662367254</v>
      </c>
      <c r="U16">
        <v>112</v>
      </c>
      <c r="V16">
        <v>8514.67</v>
      </c>
      <c r="W16">
        <v>1E-3</v>
      </c>
      <c r="X16">
        <f t="shared" si="4"/>
        <v>953.64304000000004</v>
      </c>
      <c r="Y16">
        <f t="shared" si="11"/>
        <v>961.26975599999992</v>
      </c>
      <c r="Z16">
        <f t="shared" si="5"/>
        <v>7.6267159999998739</v>
      </c>
      <c r="AC16">
        <v>113</v>
      </c>
      <c r="AF16">
        <v>111905539</v>
      </c>
      <c r="AG16">
        <f t="shared" si="12"/>
        <v>112905175.90000001</v>
      </c>
      <c r="AH16">
        <v>9.9999999999999995E-7</v>
      </c>
      <c r="AI16">
        <f t="shared" si="6"/>
        <v>111.90553899999999</v>
      </c>
      <c r="AJ16">
        <f t="shared" si="7"/>
        <v>112.9051759</v>
      </c>
      <c r="AK16">
        <v>1.007825</v>
      </c>
      <c r="AL16">
        <v>931.49</v>
      </c>
      <c r="AM16">
        <f t="shared" si="8"/>
        <v>7.627133268985034</v>
      </c>
    </row>
    <row r="17" spans="1:39" x14ac:dyDescent="0.35">
      <c r="A17">
        <v>115</v>
      </c>
      <c r="B17">
        <v>8514.07</v>
      </c>
      <c r="C17">
        <v>1E-3</v>
      </c>
      <c r="D17">
        <f t="shared" si="0"/>
        <v>979.11804999999993</v>
      </c>
      <c r="F17">
        <v>114</v>
      </c>
      <c r="G17">
        <f t="shared" si="9"/>
        <v>971.57263799999998</v>
      </c>
      <c r="H17">
        <f t="shared" si="1"/>
        <v>7.5454119999999421</v>
      </c>
      <c r="K17">
        <v>65</v>
      </c>
      <c r="L17">
        <v>114903344.69599999</v>
      </c>
      <c r="M17">
        <v>9.9999999999999995E-7</v>
      </c>
      <c r="N17">
        <f t="shared" si="2"/>
        <v>114.90334469599999</v>
      </c>
      <c r="O17">
        <f t="shared" si="10"/>
        <v>113.90278013</v>
      </c>
      <c r="P17">
        <v>1.0086649194999999</v>
      </c>
      <c r="Q17">
        <v>931.49</v>
      </c>
      <c r="R17">
        <f t="shared" si="3"/>
        <v>7.5453982817263157</v>
      </c>
      <c r="U17">
        <v>113</v>
      </c>
      <c r="V17">
        <v>8522.93</v>
      </c>
      <c r="W17">
        <v>1E-3</v>
      </c>
      <c r="X17">
        <f t="shared" si="4"/>
        <v>963.09109000000001</v>
      </c>
      <c r="Y17">
        <f t="shared" si="11"/>
        <v>971.57263799999998</v>
      </c>
      <c r="Z17">
        <f t="shared" si="5"/>
        <v>8.4815479999999752</v>
      </c>
      <c r="AC17">
        <v>114</v>
      </c>
      <c r="AF17">
        <v>112904060.45</v>
      </c>
      <c r="AG17">
        <f t="shared" si="12"/>
        <v>113902780.13</v>
      </c>
      <c r="AH17">
        <v>9.9999999999999995E-7</v>
      </c>
      <c r="AI17">
        <f t="shared" si="6"/>
        <v>112.90406045</v>
      </c>
      <c r="AJ17">
        <f t="shared" si="7"/>
        <v>113.90278013</v>
      </c>
      <c r="AK17">
        <v>1.007825</v>
      </c>
      <c r="AL17">
        <v>931.49</v>
      </c>
      <c r="AM17">
        <f t="shared" si="8"/>
        <v>8.4815145268030765</v>
      </c>
    </row>
    <row r="18" spans="1:39" x14ac:dyDescent="0.35">
      <c r="A18">
        <v>116</v>
      </c>
      <c r="B18">
        <v>8523.1170000000002</v>
      </c>
      <c r="C18">
        <v>1E-3</v>
      </c>
      <c r="D18">
        <f t="shared" si="0"/>
        <v>988.68157200000007</v>
      </c>
      <c r="F18">
        <v>115</v>
      </c>
      <c r="G18">
        <f t="shared" si="9"/>
        <v>979.11804999999993</v>
      </c>
      <c r="H18">
        <f t="shared" si="1"/>
        <v>9.5635220000001482</v>
      </c>
      <c r="K18">
        <v>66</v>
      </c>
      <c r="L18">
        <v>115901742.83</v>
      </c>
      <c r="M18">
        <v>9.9999999999999995E-7</v>
      </c>
      <c r="N18">
        <f t="shared" si="2"/>
        <v>115.90174282999999</v>
      </c>
      <c r="O18">
        <f t="shared" si="10"/>
        <v>114.90334469599999</v>
      </c>
      <c r="P18">
        <v>1.0086649194999999</v>
      </c>
      <c r="Q18">
        <v>931.49</v>
      </c>
      <c r="R18">
        <f t="shared" si="3"/>
        <v>9.5634080254022784</v>
      </c>
      <c r="U18">
        <v>114</v>
      </c>
      <c r="V18">
        <v>8511.9740000000002</v>
      </c>
      <c r="W18">
        <v>1E-3</v>
      </c>
      <c r="X18">
        <f t="shared" si="4"/>
        <v>970.36503600000003</v>
      </c>
      <c r="Y18">
        <f t="shared" si="11"/>
        <v>979.11804999999993</v>
      </c>
      <c r="Z18">
        <f t="shared" si="5"/>
        <v>8.7530139999998937</v>
      </c>
      <c r="AC18">
        <v>115</v>
      </c>
      <c r="AF18">
        <v>113904916.40000001</v>
      </c>
      <c r="AG18">
        <f t="shared" si="12"/>
        <v>114903344.69599999</v>
      </c>
      <c r="AH18">
        <v>9.9999999999999995E-7</v>
      </c>
      <c r="AI18">
        <f t="shared" si="6"/>
        <v>113.9049164</v>
      </c>
      <c r="AJ18">
        <f t="shared" si="7"/>
        <v>114.90334469599999</v>
      </c>
      <c r="AK18">
        <v>1.007825</v>
      </c>
      <c r="AL18">
        <v>931.49</v>
      </c>
      <c r="AM18">
        <f t="shared" si="8"/>
        <v>8.7529358089701663</v>
      </c>
    </row>
    <row r="19" spans="1:39" x14ac:dyDescent="0.35">
      <c r="A19">
        <v>117</v>
      </c>
      <c r="B19">
        <v>8509.6119999999992</v>
      </c>
      <c r="C19">
        <v>1E-3</v>
      </c>
      <c r="D19">
        <f t="shared" si="0"/>
        <v>995.62460399999998</v>
      </c>
      <c r="F19">
        <v>116</v>
      </c>
      <c r="G19">
        <f t="shared" si="9"/>
        <v>988.68157200000007</v>
      </c>
      <c r="H19">
        <f t="shared" si="1"/>
        <v>6.9430319999999028</v>
      </c>
      <c r="K19">
        <v>67</v>
      </c>
      <c r="L19">
        <v>116902954</v>
      </c>
      <c r="M19">
        <v>9.9999999999999995E-7</v>
      </c>
      <c r="N19">
        <f t="shared" si="2"/>
        <v>116.90295399999999</v>
      </c>
      <c r="O19">
        <f t="shared" si="10"/>
        <v>115.90174282999999</v>
      </c>
      <c r="P19">
        <v>1.0086649194999999</v>
      </c>
      <c r="Q19">
        <v>931.49</v>
      </c>
      <c r="R19">
        <f t="shared" si="3"/>
        <v>6.9430931217564433</v>
      </c>
      <c r="U19">
        <v>115</v>
      </c>
      <c r="V19">
        <v>8516.5470000000005</v>
      </c>
      <c r="W19">
        <v>1E-3</v>
      </c>
      <c r="X19">
        <f t="shared" si="4"/>
        <v>979.40290500000015</v>
      </c>
      <c r="Y19">
        <f t="shared" si="11"/>
        <v>988.68157200000007</v>
      </c>
      <c r="Z19">
        <f t="shared" si="5"/>
        <v>9.2786669999999276</v>
      </c>
      <c r="AC19">
        <v>116</v>
      </c>
      <c r="AF19">
        <v>114903878.773</v>
      </c>
      <c r="AG19">
        <f t="shared" si="12"/>
        <v>115901742.83</v>
      </c>
      <c r="AH19">
        <v>9.9999999999999995E-7</v>
      </c>
      <c r="AI19">
        <f t="shared" si="6"/>
        <v>114.903878773</v>
      </c>
      <c r="AJ19">
        <f t="shared" si="7"/>
        <v>115.90174282999999</v>
      </c>
      <c r="AK19">
        <v>1.007825</v>
      </c>
      <c r="AL19">
        <v>931.49</v>
      </c>
      <c r="AM19">
        <f t="shared" si="8"/>
        <v>9.2785187950793588</v>
      </c>
    </row>
    <row r="20" spans="1:39" x14ac:dyDescent="0.35">
      <c r="A20">
        <v>118</v>
      </c>
      <c r="B20">
        <v>8516.5339999999997</v>
      </c>
      <c r="C20">
        <v>1E-3</v>
      </c>
      <c r="D20">
        <f t="shared" si="0"/>
        <v>1004.951012</v>
      </c>
      <c r="F20">
        <v>117</v>
      </c>
      <c r="G20">
        <f t="shared" si="9"/>
        <v>995.62460399999998</v>
      </c>
      <c r="H20">
        <f t="shared" si="1"/>
        <v>9.3264080000000149</v>
      </c>
      <c r="K20">
        <v>68</v>
      </c>
      <c r="L20">
        <v>117901606.59999999</v>
      </c>
      <c r="M20">
        <v>9.9999999999999995E-7</v>
      </c>
      <c r="N20">
        <f t="shared" si="2"/>
        <v>117.90160659999999</v>
      </c>
      <c r="O20">
        <f t="shared" si="10"/>
        <v>116.90295399999999</v>
      </c>
      <c r="P20">
        <v>1.0086649194999999</v>
      </c>
      <c r="Q20">
        <v>931.49</v>
      </c>
      <c r="R20">
        <f t="shared" si="3"/>
        <v>9.3263754910611318</v>
      </c>
      <c r="U20">
        <v>116</v>
      </c>
      <c r="V20">
        <v>8501.6180000000004</v>
      </c>
      <c r="W20">
        <v>1E-3</v>
      </c>
      <c r="X20">
        <f t="shared" si="4"/>
        <v>986.18768800000009</v>
      </c>
      <c r="Y20">
        <f t="shared" si="11"/>
        <v>995.62460399999998</v>
      </c>
      <c r="Z20">
        <f t="shared" si="5"/>
        <v>9.4369159999998828</v>
      </c>
      <c r="AC20">
        <v>117</v>
      </c>
      <c r="AF20">
        <v>115905259.98999999</v>
      </c>
      <c r="AG20">
        <f t="shared" si="12"/>
        <v>116902954</v>
      </c>
      <c r="AH20">
        <v>9.9999999999999995E-7</v>
      </c>
      <c r="AI20">
        <f t="shared" si="6"/>
        <v>115.90525998999999</v>
      </c>
      <c r="AJ20">
        <f t="shared" si="7"/>
        <v>116.90295399999999</v>
      </c>
      <c r="AK20">
        <v>1.007825</v>
      </c>
      <c r="AL20">
        <v>931.49</v>
      </c>
      <c r="AM20">
        <f t="shared" si="8"/>
        <v>9.4369158750937494</v>
      </c>
    </row>
    <row r="21" spans="1:39" x14ac:dyDescent="0.35">
      <c r="A21">
        <v>119</v>
      </c>
      <c r="B21">
        <v>8499.4490000000005</v>
      </c>
      <c r="C21">
        <v>1E-3</v>
      </c>
      <c r="D21">
        <f t="shared" si="0"/>
        <v>1011.4344310000001</v>
      </c>
      <c r="F21">
        <v>118</v>
      </c>
      <c r="G21">
        <f t="shared" si="9"/>
        <v>1004.951012</v>
      </c>
      <c r="H21">
        <f t="shared" si="1"/>
        <v>6.4834190000001399</v>
      </c>
      <c r="K21">
        <v>69</v>
      </c>
      <c r="L21">
        <v>118903311.3</v>
      </c>
      <c r="M21">
        <v>9.9999999999999995E-7</v>
      </c>
      <c r="N21">
        <f t="shared" si="2"/>
        <v>118.9033113</v>
      </c>
      <c r="O21">
        <f t="shared" si="10"/>
        <v>117.90160659999999</v>
      </c>
      <c r="P21">
        <v>1.0086649194999999</v>
      </c>
      <c r="Q21">
        <v>931.49</v>
      </c>
      <c r="R21">
        <f t="shared" si="3"/>
        <v>6.4833748620564773</v>
      </c>
      <c r="U21">
        <v>117</v>
      </c>
      <c r="V21">
        <v>8503.8700000000008</v>
      </c>
      <c r="W21">
        <v>1E-3</v>
      </c>
      <c r="X21">
        <f t="shared" si="4"/>
        <v>994.95279000000016</v>
      </c>
      <c r="Y21">
        <f t="shared" si="11"/>
        <v>1004.951012</v>
      </c>
      <c r="Z21">
        <f t="shared" si="5"/>
        <v>9.9982219999998279</v>
      </c>
      <c r="AC21">
        <v>118</v>
      </c>
      <c r="AF21">
        <v>116904516</v>
      </c>
      <c r="AG21">
        <f t="shared" si="12"/>
        <v>117901606.59999999</v>
      </c>
      <c r="AH21">
        <v>9.9999999999999995E-7</v>
      </c>
      <c r="AI21">
        <f t="shared" si="6"/>
        <v>116.904516</v>
      </c>
      <c r="AJ21">
        <f t="shared" si="7"/>
        <v>117.90160659999999</v>
      </c>
      <c r="AK21">
        <v>1.007825</v>
      </c>
      <c r="AL21">
        <v>931.49</v>
      </c>
      <c r="AM21">
        <f t="shared" si="8"/>
        <v>9.9989862560037537</v>
      </c>
    </row>
    <row r="22" spans="1:39" x14ac:dyDescent="0.35">
      <c r="A22">
        <v>120</v>
      </c>
      <c r="B22">
        <v>8504.4879999999994</v>
      </c>
      <c r="C22">
        <v>1E-3</v>
      </c>
      <c r="D22">
        <f t="shared" si="0"/>
        <v>1020.53856</v>
      </c>
      <c r="F22">
        <v>119</v>
      </c>
      <c r="G22">
        <f t="shared" si="9"/>
        <v>1011.4344310000001</v>
      </c>
      <c r="H22">
        <f t="shared" si="1"/>
        <v>9.1041289999998298</v>
      </c>
      <c r="K22">
        <v>70</v>
      </c>
      <c r="L22">
        <v>119902202.59999999</v>
      </c>
      <c r="M22">
        <v>9.9999999999999995E-7</v>
      </c>
      <c r="N22">
        <f t="shared" si="2"/>
        <v>119.9022026</v>
      </c>
      <c r="O22">
        <f t="shared" si="10"/>
        <v>118.9033113</v>
      </c>
      <c r="P22">
        <v>1.0086649194999999</v>
      </c>
      <c r="Q22">
        <v>931.49</v>
      </c>
      <c r="R22">
        <f t="shared" si="3"/>
        <v>9.1040288280638908</v>
      </c>
      <c r="U22">
        <v>118</v>
      </c>
      <c r="V22">
        <v>8485.67</v>
      </c>
      <c r="W22">
        <v>1E-3</v>
      </c>
      <c r="X22">
        <f t="shared" si="4"/>
        <v>1001.30906</v>
      </c>
      <c r="Y22">
        <f t="shared" si="11"/>
        <v>1011.4344310000001</v>
      </c>
      <c r="Z22">
        <f t="shared" si="5"/>
        <v>10.125371000000086</v>
      </c>
      <c r="AC22">
        <v>119</v>
      </c>
      <c r="AF22">
        <v>117906357</v>
      </c>
      <c r="AG22">
        <f t="shared" si="12"/>
        <v>118903311.3</v>
      </c>
      <c r="AH22">
        <v>9.9999999999999995E-7</v>
      </c>
      <c r="AI22">
        <f t="shared" si="6"/>
        <v>117.906357</v>
      </c>
      <c r="AJ22">
        <f t="shared" si="7"/>
        <v>118.9033113</v>
      </c>
      <c r="AK22">
        <v>1.007825</v>
      </c>
      <c r="AL22">
        <v>931.49</v>
      </c>
      <c r="AM22">
        <f t="shared" si="8"/>
        <v>10.125948342998251</v>
      </c>
    </row>
    <row r="23" spans="1:39" x14ac:dyDescent="0.35">
      <c r="A23">
        <v>121</v>
      </c>
      <c r="B23">
        <v>8485.1959999999999</v>
      </c>
      <c r="C23">
        <v>1E-3</v>
      </c>
      <c r="D23">
        <f t="shared" si="0"/>
        <v>1026.7087160000001</v>
      </c>
      <c r="F23">
        <v>120</v>
      </c>
      <c r="G23">
        <f t="shared" si="9"/>
        <v>1020.53856</v>
      </c>
      <c r="H23">
        <f t="shared" si="1"/>
        <v>6.1701560000001336</v>
      </c>
      <c r="K23">
        <v>71</v>
      </c>
      <c r="L23">
        <v>120904243.5</v>
      </c>
      <c r="M23">
        <v>9.9999999999999995E-7</v>
      </c>
      <c r="N23">
        <f t="shared" si="2"/>
        <v>120.90424349999999</v>
      </c>
      <c r="O23">
        <f t="shared" si="10"/>
        <v>119.9022026</v>
      </c>
      <c r="P23">
        <v>1.0086649194999999</v>
      </c>
      <c r="Q23">
        <v>931.49</v>
      </c>
      <c r="R23">
        <f t="shared" si="3"/>
        <v>6.1702079240635008</v>
      </c>
      <c r="U23">
        <v>119</v>
      </c>
      <c r="V23">
        <v>8486.14</v>
      </c>
      <c r="W23">
        <v>1E-3</v>
      </c>
      <c r="X23">
        <f t="shared" si="4"/>
        <v>1009.8506599999998</v>
      </c>
      <c r="Y23">
        <f t="shared" si="11"/>
        <v>1020.53856</v>
      </c>
      <c r="Z23">
        <f t="shared" si="5"/>
        <v>10.687900000000127</v>
      </c>
      <c r="AC23">
        <v>120</v>
      </c>
      <c r="AF23">
        <v>118905852</v>
      </c>
      <c r="AG23">
        <f t="shared" si="12"/>
        <v>119902202.59999999</v>
      </c>
      <c r="AH23">
        <v>9.9999999999999995E-7</v>
      </c>
      <c r="AI23">
        <f t="shared" si="6"/>
        <v>118.905852</v>
      </c>
      <c r="AJ23">
        <f t="shared" si="7"/>
        <v>119.9022026</v>
      </c>
      <c r="AK23">
        <v>1.007825</v>
      </c>
      <c r="AL23">
        <v>931.49</v>
      </c>
      <c r="AM23">
        <f t="shared" si="8"/>
        <v>10.688288855997515</v>
      </c>
    </row>
    <row r="24" spans="1:39" x14ac:dyDescent="0.35">
      <c r="A24">
        <v>122</v>
      </c>
      <c r="B24">
        <v>8487.8970000000008</v>
      </c>
      <c r="C24">
        <v>1E-3</v>
      </c>
      <c r="D24">
        <f t="shared" si="0"/>
        <v>1035.5234340000002</v>
      </c>
      <c r="F24">
        <v>121</v>
      </c>
      <c r="G24">
        <f t="shared" si="9"/>
        <v>1026.7087160000001</v>
      </c>
      <c r="H24">
        <f t="shared" si="1"/>
        <v>8.8147180000000844</v>
      </c>
      <c r="K24">
        <v>72</v>
      </c>
      <c r="L24">
        <v>121903445.5</v>
      </c>
      <c r="M24">
        <v>9.9999999999999995E-7</v>
      </c>
      <c r="N24">
        <f t="shared" si="2"/>
        <v>121.90344549999999</v>
      </c>
      <c r="O24">
        <f t="shared" si="10"/>
        <v>120.90424349999999</v>
      </c>
      <c r="P24">
        <v>1.0086649194999999</v>
      </c>
      <c r="Q24">
        <v>931.49</v>
      </c>
      <c r="R24">
        <f t="shared" si="3"/>
        <v>8.814614885063893</v>
      </c>
      <c r="U24">
        <v>120</v>
      </c>
      <c r="V24">
        <v>8466.2999999999993</v>
      </c>
      <c r="W24">
        <v>1E-3</v>
      </c>
      <c r="X24">
        <f t="shared" si="4"/>
        <v>1015.9559999999998</v>
      </c>
      <c r="Y24">
        <f t="shared" si="11"/>
        <v>1026.7087160000001</v>
      </c>
      <c r="Z24">
        <f t="shared" si="5"/>
        <v>10.752716000000305</v>
      </c>
      <c r="AC24">
        <v>121</v>
      </c>
      <c r="AF24">
        <v>119907970</v>
      </c>
      <c r="AG24">
        <v>120904243.5</v>
      </c>
      <c r="AH24">
        <v>9.9999999999999995E-7</v>
      </c>
      <c r="AI24">
        <f t="shared" si="6"/>
        <v>119.90796999999999</v>
      </c>
      <c r="AJ24">
        <f t="shared" si="7"/>
        <v>120.90424349999999</v>
      </c>
      <c r="AK24">
        <v>1.007825</v>
      </c>
      <c r="AL24">
        <v>931.49</v>
      </c>
      <c r="AM24">
        <f t="shared" si="8"/>
        <v>10.760106734996219</v>
      </c>
    </row>
    <row r="25" spans="1:39" x14ac:dyDescent="0.35">
      <c r="A25">
        <v>123</v>
      </c>
      <c r="B25">
        <v>8467.2309999999998</v>
      </c>
      <c r="C25">
        <v>1E-3</v>
      </c>
      <c r="D25">
        <f t="shared" si="0"/>
        <v>1041.469413</v>
      </c>
      <c r="F25">
        <v>122</v>
      </c>
      <c r="G25">
        <f t="shared" si="9"/>
        <v>1035.5234340000002</v>
      </c>
      <c r="H25">
        <f t="shared" si="1"/>
        <v>5.945978999999852</v>
      </c>
      <c r="K25">
        <v>73</v>
      </c>
      <c r="L25" s="2">
        <v>122905727.09999999</v>
      </c>
      <c r="M25">
        <v>9.9999999999999995E-7</v>
      </c>
      <c r="N25">
        <f t="shared" si="2"/>
        <v>122.90572709999999</v>
      </c>
      <c r="O25">
        <f t="shared" si="10"/>
        <v>121.90344549999999</v>
      </c>
      <c r="P25">
        <v>1.0086649194999999</v>
      </c>
      <c r="Q25">
        <v>931.49</v>
      </c>
      <c r="R25">
        <f t="shared" si="3"/>
        <v>5.9459982810577259</v>
      </c>
      <c r="U25">
        <v>121</v>
      </c>
      <c r="V25">
        <v>8463.8799999999992</v>
      </c>
      <c r="W25">
        <v>1E-3</v>
      </c>
      <c r="X25">
        <f t="shared" si="4"/>
        <v>1024.1294800000001</v>
      </c>
      <c r="Y25">
        <f t="shared" si="11"/>
        <v>1035.5234340000002</v>
      </c>
      <c r="Z25">
        <f t="shared" si="5"/>
        <v>11.393954000000122</v>
      </c>
      <c r="AC25">
        <v>122</v>
      </c>
      <c r="AF25">
        <v>120907853</v>
      </c>
      <c r="AG25">
        <f t="shared" si="12"/>
        <v>121903445.5</v>
      </c>
      <c r="AH25">
        <v>9.9999999999999995E-7</v>
      </c>
      <c r="AI25">
        <f t="shared" si="6"/>
        <v>120.90785299999999</v>
      </c>
      <c r="AJ25">
        <f t="shared" si="7"/>
        <v>121.90344549999999</v>
      </c>
      <c r="AK25">
        <v>1.007825</v>
      </c>
      <c r="AL25">
        <v>931.49</v>
      </c>
      <c r="AM25">
        <f t="shared" si="8"/>
        <v>11.394451424996362</v>
      </c>
    </row>
    <row r="26" spans="1:39" x14ac:dyDescent="0.35">
      <c r="A26">
        <v>124</v>
      </c>
      <c r="B26">
        <v>8467.4</v>
      </c>
      <c r="C26">
        <v>1E-3</v>
      </c>
      <c r="D26">
        <f t="shared" si="0"/>
        <v>1049.9576</v>
      </c>
      <c r="F26">
        <v>123</v>
      </c>
      <c r="G26">
        <f t="shared" si="9"/>
        <v>1041.469413</v>
      </c>
      <c r="H26">
        <f t="shared" si="1"/>
        <v>8.4881869999999253</v>
      </c>
      <c r="K26">
        <v>74</v>
      </c>
      <c r="L26" s="2">
        <v>123905279.59999999</v>
      </c>
      <c r="M26">
        <v>9.9999999999999995E-7</v>
      </c>
      <c r="N26">
        <f t="shared" si="2"/>
        <v>123.90527959999999</v>
      </c>
      <c r="O26">
        <f t="shared" si="10"/>
        <v>122.90572709999999</v>
      </c>
      <c r="P26">
        <v>1.0086649194999999</v>
      </c>
      <c r="Q26">
        <v>931.49</v>
      </c>
      <c r="R26">
        <f t="shared" si="3"/>
        <v>8.4881276400674839</v>
      </c>
      <c r="U26">
        <v>122</v>
      </c>
      <c r="V26">
        <v>8442.1</v>
      </c>
      <c r="W26">
        <v>1E-3</v>
      </c>
      <c r="X26">
        <f t="shared" si="4"/>
        <v>1029.9362000000001</v>
      </c>
      <c r="Y26">
        <f t="shared" si="11"/>
        <v>1041.469413</v>
      </c>
      <c r="Z26">
        <f t="shared" si="5"/>
        <v>11.533212999999932</v>
      </c>
      <c r="AC26">
        <v>123</v>
      </c>
      <c r="AF26">
        <v>121910280</v>
      </c>
      <c r="AG26">
        <f t="shared" si="12"/>
        <v>122905727.09999999</v>
      </c>
      <c r="AH26">
        <v>9.9999999999999995E-7</v>
      </c>
      <c r="AI26">
        <f t="shared" si="6"/>
        <v>121.91028</v>
      </c>
      <c r="AJ26">
        <f t="shared" si="7"/>
        <v>122.90572709999999</v>
      </c>
      <c r="AK26">
        <v>1.007825</v>
      </c>
      <c r="AL26">
        <v>931.49</v>
      </c>
      <c r="AM26">
        <f t="shared" si="8"/>
        <v>11.529890071003877</v>
      </c>
    </row>
    <row r="27" spans="1:39" x14ac:dyDescent="0.35">
      <c r="A27">
        <v>125</v>
      </c>
      <c r="B27">
        <v>8445.5290000000005</v>
      </c>
      <c r="C27">
        <v>1E-3</v>
      </c>
      <c r="D27">
        <f t="shared" si="0"/>
        <v>1055.6911250000001</v>
      </c>
      <c r="F27">
        <v>124</v>
      </c>
      <c r="G27">
        <f t="shared" si="9"/>
        <v>1049.9576</v>
      </c>
      <c r="H27">
        <f t="shared" si="1"/>
        <v>5.7335250000000997</v>
      </c>
      <c r="K27">
        <v>75</v>
      </c>
      <c r="L27" s="2">
        <v>124907789.40000001</v>
      </c>
      <c r="M27">
        <v>9.9999999999999995E-7</v>
      </c>
      <c r="N27">
        <f t="shared" si="2"/>
        <v>124.9077894</v>
      </c>
      <c r="O27">
        <f t="shared" si="10"/>
        <v>123.90527959999999</v>
      </c>
      <c r="P27">
        <v>1.0086649194999999</v>
      </c>
      <c r="Q27">
        <v>931.49</v>
      </c>
      <c r="R27">
        <f t="shared" si="3"/>
        <v>5.7334322630490284</v>
      </c>
      <c r="U27">
        <v>123</v>
      </c>
      <c r="V27">
        <v>8437.94</v>
      </c>
      <c r="W27">
        <v>1E-3</v>
      </c>
      <c r="X27">
        <f t="shared" si="4"/>
        <v>1037.8666200000002</v>
      </c>
      <c r="Y27">
        <f t="shared" si="11"/>
        <v>1049.9576</v>
      </c>
      <c r="Z27">
        <f t="shared" si="5"/>
        <v>12.090979999999718</v>
      </c>
      <c r="AC27">
        <v>124</v>
      </c>
      <c r="AF27">
        <v>122910435</v>
      </c>
      <c r="AG27">
        <f t="shared" si="12"/>
        <v>123905279.59999999</v>
      </c>
      <c r="AH27">
        <v>9.9999999999999995E-7</v>
      </c>
      <c r="AI27">
        <f t="shared" si="6"/>
        <v>122.91043499999999</v>
      </c>
      <c r="AJ27">
        <f t="shared" si="7"/>
        <v>123.90527959999999</v>
      </c>
      <c r="AK27">
        <v>1.007825</v>
      </c>
      <c r="AL27">
        <v>931.49</v>
      </c>
      <c r="AM27">
        <f t="shared" si="8"/>
        <v>12.091112796003312</v>
      </c>
    </row>
    <row r="28" spans="1:39" x14ac:dyDescent="0.35">
      <c r="A28">
        <v>126</v>
      </c>
      <c r="B28">
        <v>8443.52</v>
      </c>
      <c r="C28">
        <v>1E-3</v>
      </c>
      <c r="D28">
        <f t="shared" si="0"/>
        <v>1063.8835200000001</v>
      </c>
      <c r="F28">
        <v>125</v>
      </c>
      <c r="G28">
        <f t="shared" si="9"/>
        <v>1055.6911250000001</v>
      </c>
      <c r="H28">
        <f t="shared" si="1"/>
        <v>8.1923950000000332</v>
      </c>
      <c r="K28">
        <v>76</v>
      </c>
      <c r="L28" s="2">
        <v>125907659</v>
      </c>
      <c r="M28">
        <v>9.9999999999999995E-7</v>
      </c>
      <c r="N28">
        <f t="shared" si="2"/>
        <v>125.907659</v>
      </c>
      <c r="O28">
        <f t="shared" si="10"/>
        <v>124.9077894</v>
      </c>
      <c r="P28">
        <v>1.0086649194999999</v>
      </c>
      <c r="Q28">
        <v>931.49</v>
      </c>
      <c r="R28">
        <f t="shared" si="3"/>
        <v>8.1927521610640053</v>
      </c>
      <c r="U28">
        <v>124</v>
      </c>
      <c r="V28">
        <v>8414.32</v>
      </c>
      <c r="W28">
        <v>1E-3</v>
      </c>
      <c r="X28">
        <f t="shared" si="4"/>
        <v>1043.3756800000001</v>
      </c>
      <c r="Y28">
        <f t="shared" si="11"/>
        <v>1055.6911250000001</v>
      </c>
      <c r="Z28">
        <f t="shared" si="5"/>
        <v>12.315444999999954</v>
      </c>
      <c r="AC28">
        <v>125</v>
      </c>
      <c r="AF28">
        <v>123913180</v>
      </c>
      <c r="AG28">
        <f t="shared" si="12"/>
        <v>124907789.40000001</v>
      </c>
      <c r="AH28">
        <v>9.9999999999999995E-7</v>
      </c>
      <c r="AI28">
        <f t="shared" si="6"/>
        <v>123.91318</v>
      </c>
      <c r="AJ28">
        <f t="shared" si="7"/>
        <v>124.9077894</v>
      </c>
      <c r="AK28">
        <v>1.007825</v>
      </c>
      <c r="AL28">
        <v>931.49</v>
      </c>
      <c r="AM28">
        <f t="shared" si="8"/>
        <v>12.310199243995548</v>
      </c>
    </row>
    <row r="29" spans="1:39" x14ac:dyDescent="0.35">
      <c r="A29">
        <v>127</v>
      </c>
      <c r="B29">
        <v>8420.5499999999993</v>
      </c>
      <c r="C29">
        <v>1E-3</v>
      </c>
      <c r="D29">
        <f t="shared" si="0"/>
        <v>1069.4098499999998</v>
      </c>
      <c r="F29">
        <v>126</v>
      </c>
      <c r="G29">
        <f t="shared" si="9"/>
        <v>1063.8835200000001</v>
      </c>
      <c r="H29">
        <f t="shared" si="1"/>
        <v>5.5263299999996889</v>
      </c>
      <c r="K29">
        <v>77</v>
      </c>
      <c r="L29" s="2">
        <v>126910392</v>
      </c>
      <c r="M29">
        <v>9.9999999999999995E-7</v>
      </c>
      <c r="N29">
        <f t="shared" si="2"/>
        <v>126.91039199999999</v>
      </c>
      <c r="O29">
        <f t="shared" si="10"/>
        <v>125.907659</v>
      </c>
      <c r="P29">
        <v>1.0086649194999999</v>
      </c>
      <c r="Q29">
        <v>931.49</v>
      </c>
      <c r="R29">
        <f t="shared" si="3"/>
        <v>5.5255236950682827</v>
      </c>
      <c r="U29">
        <v>125</v>
      </c>
      <c r="V29">
        <v>8407.9369999999999</v>
      </c>
      <c r="W29">
        <v>1E-3</v>
      </c>
      <c r="X29">
        <f t="shared" si="4"/>
        <v>1050.992125</v>
      </c>
      <c r="Y29">
        <f t="shared" si="11"/>
        <v>1063.8835200000001</v>
      </c>
      <c r="Z29">
        <f t="shared" si="5"/>
        <v>12.891395000000102</v>
      </c>
      <c r="AC29">
        <v>126</v>
      </c>
      <c r="AF29">
        <v>124913673.8</v>
      </c>
      <c r="AG29">
        <f t="shared" si="12"/>
        <v>125907659</v>
      </c>
      <c r="AH29">
        <v>9.9999999999999995E-7</v>
      </c>
      <c r="AI29">
        <f t="shared" si="6"/>
        <v>124.9136738</v>
      </c>
      <c r="AJ29">
        <f t="shared" si="7"/>
        <v>125.907659</v>
      </c>
      <c r="AK29">
        <v>1.007825</v>
      </c>
      <c r="AL29">
        <v>931.49</v>
      </c>
      <c r="AM29">
        <f t="shared" si="8"/>
        <v>12.891635301999546</v>
      </c>
    </row>
    <row r="30" spans="1:39" x14ac:dyDescent="0.35">
      <c r="A30">
        <v>128</v>
      </c>
      <c r="B30">
        <v>8416.9699999999993</v>
      </c>
      <c r="C30">
        <v>1E-3</v>
      </c>
      <c r="D30">
        <f t="shared" si="0"/>
        <v>1077.3721599999999</v>
      </c>
      <c r="F30">
        <v>127</v>
      </c>
      <c r="G30">
        <f t="shared" si="9"/>
        <v>1069.4098499999998</v>
      </c>
      <c r="H30">
        <f t="shared" si="1"/>
        <v>7.9623100000001159</v>
      </c>
      <c r="K30">
        <v>78</v>
      </c>
      <c r="L30" s="2">
        <v>127910508</v>
      </c>
      <c r="M30">
        <v>9.9999999999999995E-7</v>
      </c>
      <c r="N30">
        <f t="shared" si="2"/>
        <v>127.91050799999999</v>
      </c>
      <c r="O30">
        <f t="shared" si="10"/>
        <v>126.91039199999999</v>
      </c>
      <c r="P30">
        <v>1.0086649194999999</v>
      </c>
      <c r="Q30">
        <v>931.49</v>
      </c>
      <c r="R30">
        <f t="shared" si="3"/>
        <v>7.9632330250557519</v>
      </c>
      <c r="U30">
        <v>126</v>
      </c>
      <c r="V30">
        <v>8384.61</v>
      </c>
      <c r="W30">
        <v>1E-3</v>
      </c>
      <c r="X30">
        <f t="shared" si="4"/>
        <v>1056.4608600000001</v>
      </c>
      <c r="Y30">
        <f t="shared" si="11"/>
        <v>1069.4098499999998</v>
      </c>
      <c r="Z30">
        <f t="shared" si="5"/>
        <v>12.94898999999964</v>
      </c>
      <c r="AC30">
        <v>127</v>
      </c>
      <c r="AF30">
        <v>125916468</v>
      </c>
      <c r="AG30">
        <f t="shared" si="12"/>
        <v>126910392</v>
      </c>
      <c r="AH30">
        <v>9.9999999999999995E-7</v>
      </c>
      <c r="AI30">
        <f t="shared" si="6"/>
        <v>125.91646799999999</v>
      </c>
      <c r="AJ30">
        <f t="shared" si="7"/>
        <v>126.91039199999999</v>
      </c>
      <c r="AK30">
        <v>1.007825</v>
      </c>
      <c r="AL30">
        <v>931.49</v>
      </c>
      <c r="AM30">
        <f t="shared" si="8"/>
        <v>12.948642490003875</v>
      </c>
    </row>
    <row r="31" spans="1:39" x14ac:dyDescent="0.35">
      <c r="A31">
        <v>129</v>
      </c>
      <c r="B31">
        <v>8392.82</v>
      </c>
      <c r="C31">
        <v>1E-3</v>
      </c>
      <c r="D31">
        <f t="shared" si="0"/>
        <v>1082.6737800000001</v>
      </c>
      <c r="F31">
        <v>128</v>
      </c>
      <c r="G31">
        <f t="shared" si="9"/>
        <v>1077.3721599999999</v>
      </c>
      <c r="H31">
        <f t="shared" si="1"/>
        <v>5.3016200000001845</v>
      </c>
      <c r="K31">
        <v>79</v>
      </c>
      <c r="L31">
        <v>128913482</v>
      </c>
      <c r="M31">
        <v>9.9999999999999995E-7</v>
      </c>
      <c r="N31">
        <f t="shared" si="2"/>
        <v>128.91348199999999</v>
      </c>
      <c r="O31">
        <f t="shared" si="10"/>
        <v>127.91050799999999</v>
      </c>
      <c r="P31">
        <v>1.0086649194999999</v>
      </c>
      <c r="Q31">
        <v>931.49</v>
      </c>
      <c r="R31">
        <f t="shared" si="3"/>
        <v>5.301034605065861</v>
      </c>
      <c r="U31">
        <v>127</v>
      </c>
      <c r="V31">
        <v>8374.82</v>
      </c>
      <c r="W31">
        <v>1E-3</v>
      </c>
      <c r="X31">
        <f t="shared" si="4"/>
        <v>1063.60214</v>
      </c>
      <c r="Y31">
        <f t="shared" si="11"/>
        <v>1077.3721599999999</v>
      </c>
      <c r="Z31">
        <f t="shared" si="5"/>
        <v>13.770019999999931</v>
      </c>
      <c r="AC31">
        <v>128</v>
      </c>
      <c r="AF31">
        <v>126917466</v>
      </c>
      <c r="AG31">
        <f t="shared" si="12"/>
        <v>127910508</v>
      </c>
      <c r="AH31">
        <v>9.9999999999999995E-7</v>
      </c>
      <c r="AI31">
        <f t="shared" si="6"/>
        <v>126.91746599999999</v>
      </c>
      <c r="AJ31">
        <f t="shared" si="7"/>
        <v>127.91050799999999</v>
      </c>
      <c r="AK31">
        <v>1.007825</v>
      </c>
      <c r="AL31">
        <v>931.49</v>
      </c>
      <c r="AM31">
        <f t="shared" si="8"/>
        <v>13.770216669994614</v>
      </c>
    </row>
    <row r="32" spans="1:39" x14ac:dyDescent="0.35">
      <c r="A32">
        <v>130</v>
      </c>
      <c r="B32">
        <v>8386.8169999999991</v>
      </c>
      <c r="C32">
        <v>1E-3</v>
      </c>
      <c r="D32">
        <f t="shared" si="0"/>
        <v>1090.28621</v>
      </c>
      <c r="F32">
        <v>129</v>
      </c>
      <c r="G32">
        <f t="shared" si="9"/>
        <v>1082.6737800000001</v>
      </c>
      <c r="H32">
        <f t="shared" si="1"/>
        <v>7.6124299999999039</v>
      </c>
      <c r="K32">
        <v>80</v>
      </c>
      <c r="L32" s="2">
        <v>129913974.5</v>
      </c>
      <c r="M32">
        <v>9.9999999999999995E-7</v>
      </c>
      <c r="N32">
        <f t="shared" si="2"/>
        <v>129.91397449999999</v>
      </c>
      <c r="O32">
        <f t="shared" si="10"/>
        <v>128.91348199999999</v>
      </c>
      <c r="P32">
        <v>1.0086649194999999</v>
      </c>
      <c r="Q32">
        <v>931.49</v>
      </c>
      <c r="R32">
        <f t="shared" si="3"/>
        <v>7.6125270400543021</v>
      </c>
      <c r="U32">
        <v>128</v>
      </c>
      <c r="V32">
        <v>8351.4359999999997</v>
      </c>
      <c r="W32">
        <v>1E-3</v>
      </c>
      <c r="X32">
        <f t="shared" si="4"/>
        <v>1068.983808</v>
      </c>
      <c r="Y32">
        <f t="shared" si="11"/>
        <v>1082.6737800000001</v>
      </c>
      <c r="Z32">
        <f t="shared" si="5"/>
        <v>13.689972000000125</v>
      </c>
      <c r="AC32">
        <v>129</v>
      </c>
      <c r="AF32">
        <v>127920353.59999999</v>
      </c>
      <c r="AG32">
        <f t="shared" si="12"/>
        <v>128913482</v>
      </c>
      <c r="AH32">
        <v>9.9999999999999995E-7</v>
      </c>
      <c r="AI32">
        <f t="shared" si="6"/>
        <v>127.92035359999998</v>
      </c>
      <c r="AJ32">
        <f t="shared" si="7"/>
        <v>128.91348199999999</v>
      </c>
      <c r="AK32">
        <v>1.007825</v>
      </c>
      <c r="AL32">
        <v>931.49</v>
      </c>
      <c r="AM32">
        <f t="shared" si="8"/>
        <v>13.689735934007192</v>
      </c>
    </row>
    <row r="33" spans="1:39" x14ac:dyDescent="0.35">
      <c r="A33">
        <v>131</v>
      </c>
      <c r="B33">
        <v>8362.518</v>
      </c>
      <c r="C33">
        <v>1E-3</v>
      </c>
      <c r="D33">
        <f t="shared" si="0"/>
        <v>1095.4898580000001</v>
      </c>
      <c r="F33">
        <v>130</v>
      </c>
      <c r="G33">
        <f t="shared" si="9"/>
        <v>1090.28621</v>
      </c>
      <c r="H33">
        <f t="shared" si="1"/>
        <v>5.2036480000001575</v>
      </c>
      <c r="K33">
        <v>81</v>
      </c>
      <c r="L33">
        <v>130917053</v>
      </c>
      <c r="M33">
        <v>9.9999999999999995E-7</v>
      </c>
      <c r="N33">
        <f t="shared" si="2"/>
        <v>130.91705299999998</v>
      </c>
      <c r="O33">
        <f t="shared" si="10"/>
        <v>129.91397449999999</v>
      </c>
      <c r="P33">
        <v>1.0086649194999999</v>
      </c>
      <c r="Q33">
        <v>931.49</v>
      </c>
      <c r="R33">
        <f t="shared" si="3"/>
        <v>5.2036939000733513</v>
      </c>
      <c r="U33">
        <v>129</v>
      </c>
      <c r="V33">
        <v>8338.759</v>
      </c>
      <c r="W33">
        <v>1E-3</v>
      </c>
      <c r="X33">
        <f t="shared" si="4"/>
        <v>1075.6999109999999</v>
      </c>
      <c r="Y33">
        <f t="shared" si="11"/>
        <v>1090.28621</v>
      </c>
      <c r="Z33">
        <f t="shared" si="5"/>
        <v>14.586299000000054</v>
      </c>
      <c r="AC33">
        <v>130</v>
      </c>
      <c r="AF33">
        <v>128921808.5</v>
      </c>
      <c r="AG33">
        <f t="shared" si="12"/>
        <v>129913974.5</v>
      </c>
      <c r="AH33">
        <v>9.9999999999999995E-7</v>
      </c>
      <c r="AI33">
        <f t="shared" si="6"/>
        <v>128.9218085</v>
      </c>
      <c r="AJ33">
        <f t="shared" si="7"/>
        <v>129.91397449999999</v>
      </c>
      <c r="AK33">
        <v>1.007825</v>
      </c>
      <c r="AL33">
        <v>931.49</v>
      </c>
      <c r="AM33">
        <f t="shared" si="8"/>
        <v>14.586201909999463</v>
      </c>
    </row>
    <row r="34" spans="1:39" x14ac:dyDescent="0.35">
      <c r="A34">
        <v>132</v>
      </c>
      <c r="B34">
        <v>8354.8729999999996</v>
      </c>
      <c r="C34">
        <v>1E-3</v>
      </c>
      <c r="D34">
        <f t="shared" si="0"/>
        <v>1102.8432360000002</v>
      </c>
      <c r="F34">
        <v>131</v>
      </c>
      <c r="G34">
        <f t="shared" si="9"/>
        <v>1095.4898580000001</v>
      </c>
      <c r="H34">
        <f t="shared" si="1"/>
        <v>7.3533780000000206</v>
      </c>
      <c r="K34">
        <v>82</v>
      </c>
      <c r="L34">
        <v>131917823.90000001</v>
      </c>
      <c r="M34">
        <v>9.9999999999999995E-7</v>
      </c>
      <c r="N34">
        <f t="shared" si="2"/>
        <v>131.9178239</v>
      </c>
      <c r="O34">
        <f t="shared" si="10"/>
        <v>130.91705299999998</v>
      </c>
      <c r="P34">
        <v>1.0086649194999999</v>
      </c>
      <c r="Q34">
        <v>931.49</v>
      </c>
      <c r="R34">
        <f t="shared" si="3"/>
        <v>7.3532002240418812</v>
      </c>
      <c r="U34">
        <v>130</v>
      </c>
      <c r="V34">
        <v>8314.1759999999995</v>
      </c>
      <c r="W34">
        <v>1E-3</v>
      </c>
      <c r="X34">
        <f t="shared" si="4"/>
        <v>1080.8428799999999</v>
      </c>
      <c r="Y34">
        <f t="shared" si="11"/>
        <v>1095.4898580000001</v>
      </c>
      <c r="Z34">
        <f t="shared" si="5"/>
        <v>14.646978000000217</v>
      </c>
      <c r="AC34">
        <v>131</v>
      </c>
      <c r="AF34">
        <v>129924952.3</v>
      </c>
      <c r="AG34">
        <f t="shared" si="12"/>
        <v>130917053</v>
      </c>
      <c r="AH34">
        <v>9.9999999999999995E-7</v>
      </c>
      <c r="AI34">
        <f t="shared" si="6"/>
        <v>129.9249523</v>
      </c>
      <c r="AJ34">
        <f t="shared" si="7"/>
        <v>130.91705299999998</v>
      </c>
      <c r="AK34">
        <v>1.007825</v>
      </c>
      <c r="AL34">
        <v>931.49</v>
      </c>
      <c r="AM34">
        <f t="shared" si="8"/>
        <v>14.647028207015328</v>
      </c>
    </row>
    <row r="35" spans="1:39" x14ac:dyDescent="0.35">
      <c r="A35">
        <v>133</v>
      </c>
      <c r="B35">
        <v>8310.0889999999999</v>
      </c>
      <c r="C35">
        <v>1E-3</v>
      </c>
      <c r="D35">
        <f t="shared" si="0"/>
        <v>1105.241837</v>
      </c>
      <c r="F35">
        <v>132</v>
      </c>
      <c r="G35">
        <f t="shared" si="9"/>
        <v>1102.8432360000002</v>
      </c>
      <c r="H35">
        <f t="shared" si="1"/>
        <v>2.3986009999998714</v>
      </c>
      <c r="K35">
        <v>83</v>
      </c>
      <c r="L35">
        <v>132923913.8</v>
      </c>
      <c r="M35">
        <v>9.9999999999999995E-7</v>
      </c>
      <c r="N35">
        <f t="shared" si="2"/>
        <v>132.92391379999998</v>
      </c>
      <c r="O35">
        <f t="shared" si="10"/>
        <v>131.9178239</v>
      </c>
      <c r="P35">
        <v>1.0086649194999999</v>
      </c>
      <c r="Q35">
        <v>931.49</v>
      </c>
      <c r="R35">
        <f t="shared" si="3"/>
        <v>2.398604914081524</v>
      </c>
      <c r="U35">
        <v>131</v>
      </c>
      <c r="V35">
        <v>8297.9539999999997</v>
      </c>
      <c r="W35">
        <v>1E-3</v>
      </c>
      <c r="X35">
        <f t="shared" si="4"/>
        <v>1087.031974</v>
      </c>
      <c r="Y35">
        <f t="shared" si="11"/>
        <v>1102.8432360000002</v>
      </c>
      <c r="Z35">
        <f t="shared" si="5"/>
        <v>15.81126200000017</v>
      </c>
      <c r="AC35">
        <v>132</v>
      </c>
      <c r="AF35">
        <v>130926972.8</v>
      </c>
      <c r="AG35">
        <f t="shared" si="12"/>
        <v>131917823.90000001</v>
      </c>
      <c r="AH35">
        <v>9.9999999999999995E-7</v>
      </c>
      <c r="AI35">
        <f t="shared" si="6"/>
        <v>130.92697279999999</v>
      </c>
      <c r="AJ35">
        <f t="shared" si="7"/>
        <v>131.9178239</v>
      </c>
      <c r="AK35">
        <v>1.007825</v>
      </c>
      <c r="AL35">
        <v>931.49</v>
      </c>
      <c r="AM35">
        <f t="shared" si="8"/>
        <v>15.81101811098344</v>
      </c>
    </row>
    <row r="36" spans="1:39" x14ac:dyDescent="0.35">
      <c r="A36">
        <v>134</v>
      </c>
      <c r="B36">
        <v>8275.1720000000005</v>
      </c>
      <c r="C36">
        <v>1E-3</v>
      </c>
      <c r="D36">
        <f t="shared" si="0"/>
        <v>1108.8730479999999</v>
      </c>
      <c r="F36">
        <v>133</v>
      </c>
      <c r="G36">
        <f t="shared" si="9"/>
        <v>1105.241837</v>
      </c>
      <c r="H36">
        <f t="shared" si="1"/>
        <v>3.6312109999998938</v>
      </c>
      <c r="K36">
        <v>84</v>
      </c>
      <c r="L36" s="2">
        <v>133928680</v>
      </c>
      <c r="M36">
        <v>9.9999999999999995E-7</v>
      </c>
      <c r="N36">
        <f t="shared" si="2"/>
        <v>133.92867999999999</v>
      </c>
      <c r="O36">
        <f t="shared" si="10"/>
        <v>132.92391379999998</v>
      </c>
      <c r="P36">
        <v>1.0086649194999999</v>
      </c>
      <c r="Q36">
        <v>931.49</v>
      </c>
      <c r="R36">
        <f t="shared" si="3"/>
        <v>3.6316182270553958</v>
      </c>
      <c r="U36">
        <v>132</v>
      </c>
      <c r="V36">
        <v>8253.7000000000007</v>
      </c>
      <c r="W36">
        <v>1E-3</v>
      </c>
      <c r="X36">
        <f t="shared" si="4"/>
        <v>1089.4884</v>
      </c>
      <c r="Y36">
        <f t="shared" si="11"/>
        <v>1105.241837</v>
      </c>
      <c r="Z36">
        <f t="shared" si="5"/>
        <v>15.753437000000076</v>
      </c>
      <c r="AC36">
        <v>133</v>
      </c>
      <c r="AF36">
        <v>131933000</v>
      </c>
      <c r="AG36">
        <f t="shared" si="12"/>
        <v>132923913.8</v>
      </c>
      <c r="AH36">
        <v>9.9999999999999995E-7</v>
      </c>
      <c r="AI36">
        <f t="shared" si="6"/>
        <v>131.93299999999999</v>
      </c>
      <c r="AJ36">
        <f t="shared" si="7"/>
        <v>132.92391379999998</v>
      </c>
      <c r="AK36">
        <v>1.007825</v>
      </c>
      <c r="AL36">
        <v>931.49</v>
      </c>
      <c r="AM36">
        <f t="shared" si="8"/>
        <v>15.752613688009115</v>
      </c>
    </row>
    <row r="37" spans="1:39" x14ac:dyDescent="0.35">
      <c r="A37">
        <v>135</v>
      </c>
      <c r="B37">
        <v>8230.6880000000001</v>
      </c>
      <c r="C37">
        <v>1E-3</v>
      </c>
      <c r="D37">
        <f t="shared" si="0"/>
        <v>1111.1428800000001</v>
      </c>
      <c r="F37">
        <v>134</v>
      </c>
      <c r="G37">
        <f t="shared" si="9"/>
        <v>1108.8730479999999</v>
      </c>
      <c r="H37">
        <f t="shared" si="1"/>
        <v>2.2698320000001786</v>
      </c>
      <c r="K37">
        <v>85</v>
      </c>
      <c r="L37" s="2">
        <v>134934909</v>
      </c>
      <c r="M37">
        <v>9.9999999999999995E-7</v>
      </c>
      <c r="N37">
        <f t="shared" si="2"/>
        <v>134.934909</v>
      </c>
      <c r="O37">
        <f t="shared" si="10"/>
        <v>133.92867999999999</v>
      </c>
      <c r="P37">
        <v>1.0086649194999999</v>
      </c>
      <c r="Q37">
        <v>931.49</v>
      </c>
      <c r="R37">
        <f t="shared" si="3"/>
        <v>2.2690346550433089</v>
      </c>
      <c r="U37">
        <v>133</v>
      </c>
      <c r="V37">
        <v>8217</v>
      </c>
      <c r="W37">
        <v>1E-3</v>
      </c>
      <c r="X37">
        <f t="shared" si="4"/>
        <v>1092.8610000000001</v>
      </c>
      <c r="Y37">
        <f t="shared" si="11"/>
        <v>1108.8730479999999</v>
      </c>
      <c r="Z37">
        <f t="shared" si="5"/>
        <v>16.012047999999822</v>
      </c>
      <c r="AC37">
        <v>134</v>
      </c>
      <c r="AF37">
        <v>132938070</v>
      </c>
      <c r="AG37">
        <f t="shared" si="12"/>
        <v>133928680</v>
      </c>
      <c r="AH37">
        <v>9.9999999999999995E-7</v>
      </c>
      <c r="AI37">
        <f t="shared" si="6"/>
        <v>132.93806999999998</v>
      </c>
      <c r="AJ37">
        <f t="shared" si="7"/>
        <v>133.92867999999999</v>
      </c>
      <c r="AK37">
        <v>1.007825</v>
      </c>
      <c r="AL37">
        <v>931.49</v>
      </c>
      <c r="AM37">
        <f t="shared" si="8"/>
        <v>16.035600349993569</v>
      </c>
    </row>
    <row r="38" spans="1:39" x14ac:dyDescent="0.35">
      <c r="A38">
        <v>136</v>
      </c>
      <c r="B38">
        <v>8197</v>
      </c>
      <c r="C38">
        <v>1E-3</v>
      </c>
      <c r="D38">
        <f t="shared" si="0"/>
        <v>1114.7919999999999</v>
      </c>
      <c r="F38">
        <v>135</v>
      </c>
      <c r="G38">
        <f t="shared" si="9"/>
        <v>1111.1428800000001</v>
      </c>
      <c r="H38">
        <f t="shared" si="1"/>
        <v>3.6491199999998116</v>
      </c>
      <c r="K38">
        <v>86</v>
      </c>
      <c r="L38" s="2">
        <v>135939700</v>
      </c>
      <c r="M38">
        <v>9.9999999999999995E-7</v>
      </c>
      <c r="N38">
        <f t="shared" si="2"/>
        <v>135.93969999999999</v>
      </c>
      <c r="O38">
        <f t="shared" si="10"/>
        <v>134.934909</v>
      </c>
      <c r="P38">
        <v>1.0086649194999999</v>
      </c>
      <c r="Q38">
        <v>931.49</v>
      </c>
      <c r="R38">
        <f t="shared" si="3"/>
        <v>3.6085172750766557</v>
      </c>
      <c r="U38">
        <v>134</v>
      </c>
      <c r="V38">
        <v>8173</v>
      </c>
      <c r="W38">
        <v>1E-3</v>
      </c>
      <c r="X38">
        <f t="shared" si="4"/>
        <v>1095.182</v>
      </c>
      <c r="Y38">
        <f t="shared" si="11"/>
        <v>1111.1428800000001</v>
      </c>
      <c r="Z38">
        <f t="shared" si="5"/>
        <v>15.960880000000088</v>
      </c>
      <c r="AC38">
        <v>135</v>
      </c>
      <c r="AF38">
        <v>133944210</v>
      </c>
      <c r="AG38">
        <f t="shared" si="12"/>
        <v>134934909</v>
      </c>
      <c r="AH38">
        <v>9.9999999999999995E-7</v>
      </c>
      <c r="AI38">
        <f t="shared" si="6"/>
        <v>133.94421</v>
      </c>
      <c r="AJ38">
        <f t="shared" si="7"/>
        <v>134.934909</v>
      </c>
      <c r="AK38">
        <v>1.007825</v>
      </c>
      <c r="AL38">
        <v>931.49</v>
      </c>
      <c r="AM38">
        <f t="shared" si="8"/>
        <v>15.952697739991082</v>
      </c>
    </row>
    <row r="39" spans="1:39" x14ac:dyDescent="0.35">
      <c r="A39">
        <v>137</v>
      </c>
      <c r="B39">
        <v>8152</v>
      </c>
      <c r="C39">
        <v>1E-3</v>
      </c>
      <c r="D39">
        <f t="shared" si="0"/>
        <v>1116.8240000000001</v>
      </c>
      <c r="F39">
        <v>136</v>
      </c>
      <c r="G39">
        <f t="shared" si="9"/>
        <v>1114.7919999999999</v>
      </c>
      <c r="H39">
        <f t="shared" si="1"/>
        <v>2.0320000000001528</v>
      </c>
      <c r="K39">
        <v>87</v>
      </c>
      <c r="L39">
        <v>136946160</v>
      </c>
      <c r="M39">
        <v>9.9999999999999995E-7</v>
      </c>
      <c r="N39">
        <f t="shared" si="2"/>
        <v>136.94615999999999</v>
      </c>
      <c r="O39">
        <f t="shared" si="10"/>
        <v>135.93969999999999</v>
      </c>
      <c r="P39">
        <v>1.0086649194999999</v>
      </c>
      <c r="Q39">
        <v>931.49</v>
      </c>
      <c r="R39">
        <f t="shared" si="3"/>
        <v>2.0538604650570806</v>
      </c>
      <c r="U39">
        <v>135</v>
      </c>
      <c r="V39">
        <v>8136</v>
      </c>
      <c r="W39">
        <v>1E-3</v>
      </c>
      <c r="X39">
        <f t="shared" si="4"/>
        <v>1098.3600000000001</v>
      </c>
      <c r="Y39">
        <f t="shared" si="11"/>
        <v>1114.7919999999999</v>
      </c>
      <c r="Z39">
        <f t="shared" si="5"/>
        <v>16.431999999999789</v>
      </c>
      <c r="AC39">
        <v>136</v>
      </c>
      <c r="AF39">
        <v>134949430</v>
      </c>
      <c r="AG39">
        <f t="shared" si="12"/>
        <v>135939700</v>
      </c>
      <c r="AH39">
        <v>9.9999999999999995E-7</v>
      </c>
      <c r="AI39">
        <f t="shared" si="6"/>
        <v>134.94943000000001</v>
      </c>
      <c r="AJ39">
        <f t="shared" si="7"/>
        <v>135.93969999999999</v>
      </c>
      <c r="AK39">
        <v>1.007825</v>
      </c>
      <c r="AL39">
        <v>931.49</v>
      </c>
      <c r="AM39">
        <f t="shared" si="8"/>
        <v>16.352306950014672</v>
      </c>
    </row>
    <row r="40" spans="1:39" x14ac:dyDescent="0.35">
      <c r="A40">
        <v>138</v>
      </c>
      <c r="B40">
        <v>8118</v>
      </c>
      <c r="C40">
        <v>1E-3</v>
      </c>
      <c r="D40">
        <f t="shared" si="0"/>
        <v>1120.2840000000001</v>
      </c>
      <c r="F40">
        <v>137</v>
      </c>
      <c r="G40">
        <f t="shared" si="9"/>
        <v>1116.8240000000001</v>
      </c>
      <c r="H40">
        <f t="shared" si="1"/>
        <v>3.4600000000000364</v>
      </c>
      <c r="K40">
        <v>88</v>
      </c>
      <c r="L40">
        <v>137951140</v>
      </c>
      <c r="M40">
        <v>9.9999999999999995E-7</v>
      </c>
      <c r="N40">
        <f t="shared" si="2"/>
        <v>137.95113999999998</v>
      </c>
      <c r="O40">
        <f t="shared" si="10"/>
        <v>136.94615999999999</v>
      </c>
      <c r="P40">
        <v>1.0086649194999999</v>
      </c>
      <c r="Q40">
        <v>931.49</v>
      </c>
      <c r="R40">
        <f t="shared" si="3"/>
        <v>3.4324656650710761</v>
      </c>
      <c r="U40">
        <v>136</v>
      </c>
      <c r="V40">
        <v>8091</v>
      </c>
      <c r="W40">
        <v>1E-3</v>
      </c>
      <c r="X40">
        <f t="shared" si="4"/>
        <v>1100.376</v>
      </c>
      <c r="Y40">
        <f t="shared" si="11"/>
        <v>1116.8240000000001</v>
      </c>
      <c r="Z40">
        <f t="shared" si="5"/>
        <v>16.448000000000093</v>
      </c>
      <c r="AC40">
        <v>137</v>
      </c>
      <c r="AF40">
        <v>135956020</v>
      </c>
      <c r="AG40">
        <f t="shared" si="12"/>
        <v>136946160</v>
      </c>
      <c r="AH40">
        <v>9.9999999999999995E-7</v>
      </c>
      <c r="AI40">
        <f t="shared" si="6"/>
        <v>135.95602</v>
      </c>
      <c r="AJ40">
        <f t="shared" si="7"/>
        <v>136.94615999999999</v>
      </c>
      <c r="AK40">
        <v>1.007825</v>
      </c>
      <c r="AL40">
        <v>931.49</v>
      </c>
      <c r="AM40">
        <f t="shared" si="8"/>
        <v>16.473400650000162</v>
      </c>
    </row>
    <row r="41" spans="1:39" x14ac:dyDescent="0.35">
      <c r="A41">
        <v>139</v>
      </c>
      <c r="B41">
        <v>8073</v>
      </c>
      <c r="C41">
        <v>1E-3</v>
      </c>
      <c r="D41">
        <f t="shared" si="0"/>
        <v>1122.1469999999999</v>
      </c>
      <c r="F41">
        <v>138</v>
      </c>
      <c r="G41">
        <f t="shared" si="9"/>
        <v>1120.2840000000001</v>
      </c>
      <c r="H41">
        <f t="shared" si="1"/>
        <v>1.862999999999829</v>
      </c>
      <c r="K41">
        <v>89</v>
      </c>
      <c r="L41">
        <v>138957800</v>
      </c>
      <c r="M41">
        <v>9.9999999999999995E-7</v>
      </c>
      <c r="N41">
        <f t="shared" si="2"/>
        <v>138.95779999999999</v>
      </c>
      <c r="O41">
        <f t="shared" si="10"/>
        <v>137.95113999999998</v>
      </c>
      <c r="P41">
        <v>1.0086649194999999</v>
      </c>
      <c r="Q41">
        <v>931.49</v>
      </c>
      <c r="R41">
        <f t="shared" si="3"/>
        <v>1.8675624650508962</v>
      </c>
      <c r="U41">
        <v>137</v>
      </c>
      <c r="V41">
        <v>8053</v>
      </c>
      <c r="W41">
        <v>1E-3</v>
      </c>
      <c r="X41">
        <f t="shared" si="4"/>
        <v>1103.2610000000002</v>
      </c>
      <c r="Y41">
        <f t="shared" si="11"/>
        <v>1120.2840000000001</v>
      </c>
      <c r="Z41">
        <f t="shared" si="5"/>
        <v>17.022999999999911</v>
      </c>
      <c r="AC41">
        <v>138</v>
      </c>
      <c r="AF41">
        <v>136961540</v>
      </c>
      <c r="AG41">
        <f t="shared" si="12"/>
        <v>137951140</v>
      </c>
      <c r="AH41">
        <v>9.9999999999999995E-7</v>
      </c>
      <c r="AI41">
        <f t="shared" si="6"/>
        <v>136.96153999999999</v>
      </c>
      <c r="AJ41">
        <f t="shared" si="7"/>
        <v>137.95113999999998</v>
      </c>
      <c r="AK41">
        <v>1.007825</v>
      </c>
      <c r="AL41">
        <v>931.49</v>
      </c>
      <c r="AM41">
        <f t="shared" si="8"/>
        <v>16.976405250000976</v>
      </c>
    </row>
    <row r="42" spans="1:39" x14ac:dyDescent="0.35">
      <c r="A42">
        <v>140</v>
      </c>
      <c r="B42">
        <v>8038</v>
      </c>
      <c r="C42">
        <v>1E-3</v>
      </c>
      <c r="D42">
        <f t="shared" si="0"/>
        <v>1125.32</v>
      </c>
      <c r="F42">
        <v>139</v>
      </c>
      <c r="G42">
        <f t="shared" si="9"/>
        <v>1122.1469999999999</v>
      </c>
      <c r="H42">
        <f t="shared" si="1"/>
        <v>3.1730000000000018</v>
      </c>
      <c r="K42">
        <v>90</v>
      </c>
      <c r="L42">
        <v>139962970</v>
      </c>
      <c r="M42">
        <v>9.9999999999999995E-7</v>
      </c>
      <c r="N42">
        <f t="shared" si="2"/>
        <v>139.96296999999998</v>
      </c>
      <c r="O42">
        <f t="shared" si="10"/>
        <v>138.95779999999999</v>
      </c>
      <c r="P42">
        <v>1.0086649194999999</v>
      </c>
      <c r="Q42">
        <v>931.49</v>
      </c>
      <c r="R42">
        <f t="shared" si="3"/>
        <v>3.2554825650678483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41B4-6E66-4228-904A-20FCA5FCC7B0}">
  <dimension ref="A1:AM50"/>
  <sheetViews>
    <sheetView zoomScale="95" workbookViewId="0">
      <selection activeCell="I17" sqref="I17"/>
    </sheetView>
  </sheetViews>
  <sheetFormatPr defaultRowHeight="14.5" x14ac:dyDescent="0.35"/>
  <cols>
    <col min="4" max="4" width="8.90625" customWidth="1"/>
    <col min="8" max="8" width="11" customWidth="1"/>
    <col min="11" max="11" width="10.453125" customWidth="1"/>
    <col min="12" max="12" width="9.453125" customWidth="1"/>
    <col min="14" max="14" width="10.6328125" customWidth="1"/>
    <col min="16" max="16" width="12.7265625" customWidth="1"/>
    <col min="17" max="17" width="15.08984375" customWidth="1"/>
    <col min="24" max="24" width="11" customWidth="1"/>
    <col min="25" max="25" width="10" customWidth="1"/>
    <col min="32" max="32" width="10.7265625" customWidth="1"/>
    <col min="33" max="33" width="9.7265625" customWidth="1"/>
    <col min="34" max="34" width="9.81640625" bestFit="1" customWidth="1"/>
    <col min="35" max="35" width="9.453125" customWidth="1"/>
  </cols>
  <sheetData>
    <row r="1" spans="1:39" x14ac:dyDescent="0.35">
      <c r="A1" t="s">
        <v>1</v>
      </c>
      <c r="B1" t="s">
        <v>15</v>
      </c>
      <c r="D1" s="1" t="s">
        <v>12</v>
      </c>
      <c r="E1" t="s">
        <v>16</v>
      </c>
      <c r="F1" t="s">
        <v>4</v>
      </c>
      <c r="G1" t="s">
        <v>8</v>
      </c>
      <c r="H1" t="s">
        <v>14</v>
      </c>
      <c r="J1" t="s">
        <v>16</v>
      </c>
      <c r="K1" t="s">
        <v>22</v>
      </c>
      <c r="L1" t="s">
        <v>23</v>
      </c>
      <c r="M1" t="s">
        <v>31</v>
      </c>
      <c r="N1" t="s">
        <v>25</v>
      </c>
      <c r="O1" t="s">
        <v>18</v>
      </c>
      <c r="P1" t="s">
        <v>26</v>
      </c>
      <c r="Q1" t="s">
        <v>14</v>
      </c>
      <c r="T1" t="s">
        <v>1</v>
      </c>
      <c r="U1" t="s">
        <v>37</v>
      </c>
      <c r="V1" t="s">
        <v>48</v>
      </c>
      <c r="W1" t="s">
        <v>42</v>
      </c>
      <c r="X1" t="s">
        <v>45</v>
      </c>
      <c r="Y1" t="s">
        <v>52</v>
      </c>
      <c r="Z1" t="s">
        <v>35</v>
      </c>
      <c r="AF1" t="s">
        <v>40</v>
      </c>
      <c r="AG1" t="s">
        <v>39</v>
      </c>
      <c r="AH1" t="s">
        <v>46</v>
      </c>
      <c r="AI1" t="s">
        <v>41</v>
      </c>
      <c r="AJ1" t="s">
        <v>50</v>
      </c>
      <c r="AK1" t="s">
        <v>47</v>
      </c>
      <c r="AL1" t="s">
        <v>18</v>
      </c>
      <c r="AM1" t="s">
        <v>35</v>
      </c>
    </row>
    <row r="2" spans="1:39" x14ac:dyDescent="0.35">
      <c r="A2">
        <v>179</v>
      </c>
      <c r="B2">
        <v>7701.5</v>
      </c>
      <c r="C2">
        <v>1E-3</v>
      </c>
      <c r="D2">
        <f>A2*B2*C2</f>
        <v>1378.5685000000001</v>
      </c>
      <c r="E2">
        <v>97</v>
      </c>
      <c r="F2">
        <v>178</v>
      </c>
      <c r="G2">
        <v>1368.82</v>
      </c>
      <c r="H2">
        <f>D2-G2</f>
        <v>9.7485000000001492</v>
      </c>
      <c r="J2">
        <v>97</v>
      </c>
      <c r="K2">
        <v>179002200</v>
      </c>
      <c r="L2">
        <v>9.9999999999999995E-7</v>
      </c>
      <c r="M2">
        <f>K2*L2</f>
        <v>179.00219999999999</v>
      </c>
      <c r="N2">
        <v>178.00383600000001</v>
      </c>
      <c r="O2">
        <v>931.49</v>
      </c>
      <c r="P2">
        <v>1.0086649194999999</v>
      </c>
      <c r="Q2">
        <f>(N2+P2-M2)*O2</f>
        <v>9.5952035050786879</v>
      </c>
      <c r="T2">
        <v>178</v>
      </c>
      <c r="U2">
        <v>177</v>
      </c>
      <c r="V2">
        <v>7732.17</v>
      </c>
      <c r="W2">
        <v>1E-3</v>
      </c>
      <c r="X2">
        <f>V2*U2*W2</f>
        <v>1368.5940900000001</v>
      </c>
      <c r="Y2">
        <v>1368.9695200000001</v>
      </c>
      <c r="Z2">
        <f>Y2-X2</f>
        <v>0.37543000000005122</v>
      </c>
      <c r="AF2">
        <v>176996414</v>
      </c>
      <c r="AG2">
        <v>178003836</v>
      </c>
      <c r="AH2">
        <v>9.9999999999999995E-7</v>
      </c>
      <c r="AI2">
        <f>AF2*AH2</f>
        <v>176.99641399999999</v>
      </c>
      <c r="AJ2">
        <f>AG2*AH2</f>
        <v>178.00383599999998</v>
      </c>
      <c r="AK2">
        <v>1.007825</v>
      </c>
      <c r="AL2">
        <v>931.49</v>
      </c>
      <c r="AM2">
        <f>(AI2+AK2-AJ2)*AL2</f>
        <v>0.37539047000531356</v>
      </c>
    </row>
    <row r="3" spans="1:39" x14ac:dyDescent="0.35">
      <c r="A3">
        <v>180</v>
      </c>
      <c r="B3">
        <v>7725.7</v>
      </c>
      <c r="C3">
        <v>1E-3</v>
      </c>
      <c r="D3">
        <f t="shared" ref="D3:D43" si="0">A3*B3*C3</f>
        <v>1390.626</v>
      </c>
      <c r="E3">
        <v>98</v>
      </c>
      <c r="F3">
        <v>179</v>
      </c>
      <c r="G3">
        <f>D2</f>
        <v>1378.5685000000001</v>
      </c>
      <c r="H3">
        <f>D3-G3</f>
        <v>12.057499999999891</v>
      </c>
      <c r="J3">
        <v>98</v>
      </c>
      <c r="K3">
        <v>179997916</v>
      </c>
      <c r="L3">
        <v>9.9999999999999995E-7</v>
      </c>
      <c r="M3">
        <f t="shared" ref="M3:M43" si="1">K3*L3</f>
        <v>179.997916</v>
      </c>
      <c r="N3">
        <f>M2</f>
        <v>179.00219999999999</v>
      </c>
      <c r="O3">
        <v>931.49</v>
      </c>
      <c r="P3">
        <v>1.0086649194999999</v>
      </c>
      <c r="Q3">
        <f t="shared" ref="Q3:Q43" si="2">(N3+P3-M3)*O3</f>
        <v>12.061789025046199</v>
      </c>
      <c r="T3">
        <v>179</v>
      </c>
      <c r="U3">
        <v>178</v>
      </c>
      <c r="V3">
        <v>7741</v>
      </c>
      <c r="W3">
        <v>1E-3</v>
      </c>
      <c r="X3">
        <f t="shared" ref="X3:X43" si="3">V3*U3*W3</f>
        <v>1377.8980000000001</v>
      </c>
      <c r="Y3">
        <f>D2</f>
        <v>1378.5685000000001</v>
      </c>
      <c r="Z3">
        <f t="shared" ref="Z3:Z43" si="4">Y3-X3</f>
        <v>0.67049999999994725</v>
      </c>
      <c r="AF3">
        <v>177995050</v>
      </c>
      <c r="AG3">
        <f>K2</f>
        <v>179002200</v>
      </c>
      <c r="AH3">
        <v>9.9999999999999995E-7</v>
      </c>
      <c r="AI3">
        <f t="shared" ref="AI3:AI43" si="5">AF3*AH3</f>
        <v>177.99504999999999</v>
      </c>
      <c r="AJ3">
        <f t="shared" ref="AJ3:AJ43" si="6">AG3*AH3</f>
        <v>179.00219999999999</v>
      </c>
      <c r="AK3">
        <v>1.007825</v>
      </c>
      <c r="AL3">
        <v>931.49</v>
      </c>
      <c r="AM3">
        <f t="shared" ref="AM3:AM43" si="7">(AI3+AK3-AJ3)*AL3</f>
        <v>0.62875575000101658</v>
      </c>
    </row>
    <row r="4" spans="1:39" x14ac:dyDescent="0.35">
      <c r="A4">
        <v>181</v>
      </c>
      <c r="B4">
        <v>7734.1</v>
      </c>
      <c r="C4">
        <v>1E-3</v>
      </c>
      <c r="D4">
        <f t="shared" si="0"/>
        <v>1399.8721</v>
      </c>
      <c r="E4">
        <v>99</v>
      </c>
      <c r="F4">
        <v>180</v>
      </c>
      <c r="G4">
        <f t="shared" ref="G4:G43" si="8">D3</f>
        <v>1390.626</v>
      </c>
      <c r="H4">
        <f t="shared" ref="H4:H43" si="9">D4-G4</f>
        <v>9.2461000000000695</v>
      </c>
      <c r="J4">
        <v>99</v>
      </c>
      <c r="K4">
        <v>180996660</v>
      </c>
      <c r="L4">
        <v>9.9999999999999995E-7</v>
      </c>
      <c r="M4">
        <f t="shared" si="1"/>
        <v>180.99665999999999</v>
      </c>
      <c r="N4">
        <f t="shared" ref="N4:N43" si="10">M3</f>
        <v>179.997916</v>
      </c>
      <c r="O4">
        <v>931.49</v>
      </c>
      <c r="P4">
        <v>1.0086649194999999</v>
      </c>
      <c r="Q4">
        <f t="shared" si="2"/>
        <v>9.2412373050722323</v>
      </c>
      <c r="T4">
        <v>180</v>
      </c>
      <c r="U4">
        <v>179</v>
      </c>
      <c r="V4">
        <v>7763.49</v>
      </c>
      <c r="W4">
        <v>1E-3</v>
      </c>
      <c r="X4">
        <f t="shared" si="3"/>
        <v>1389.66471</v>
      </c>
      <c r="Y4">
        <f t="shared" ref="Y4:Y43" si="11">D3</f>
        <v>1390.626</v>
      </c>
      <c r="Z4">
        <f t="shared" si="4"/>
        <v>0.96128999999996267</v>
      </c>
      <c r="AF4">
        <v>178991120</v>
      </c>
      <c r="AG4">
        <f t="shared" ref="AG4:AG43" si="12">K3</f>
        <v>179997916</v>
      </c>
      <c r="AH4">
        <v>9.9999999999999995E-7</v>
      </c>
      <c r="AI4">
        <f t="shared" si="5"/>
        <v>178.99112</v>
      </c>
      <c r="AJ4">
        <f t="shared" si="6"/>
        <v>179.997916</v>
      </c>
      <c r="AK4">
        <v>1.007825</v>
      </c>
      <c r="AL4">
        <v>931.49</v>
      </c>
      <c r="AM4">
        <f t="shared" si="7"/>
        <v>0.95850320998919503</v>
      </c>
    </row>
    <row r="5" spans="1:39" x14ac:dyDescent="0.35">
      <c r="A5">
        <v>182</v>
      </c>
      <c r="B5">
        <v>7756.33</v>
      </c>
      <c r="C5">
        <v>1E-3</v>
      </c>
      <c r="D5">
        <f>A5*B5*C5</f>
        <v>1411.6520600000001</v>
      </c>
      <c r="E5">
        <v>100</v>
      </c>
      <c r="F5">
        <v>181</v>
      </c>
      <c r="G5">
        <f t="shared" si="8"/>
        <v>1399.8721</v>
      </c>
      <c r="H5">
        <f>D5-G5</f>
        <v>11.779960000000074</v>
      </c>
      <c r="J5">
        <v>100</v>
      </c>
      <c r="K5">
        <v>181992674</v>
      </c>
      <c r="L5">
        <v>9.9999999999999995E-7</v>
      </c>
      <c r="M5">
        <f t="shared" si="1"/>
        <v>181.99267399999999</v>
      </c>
      <c r="N5">
        <f t="shared" si="10"/>
        <v>180.99665999999999</v>
      </c>
      <c r="O5">
        <v>931.49</v>
      </c>
      <c r="P5">
        <v>1.0086649194999999</v>
      </c>
      <c r="Q5">
        <f t="shared" si="2"/>
        <v>11.784205005058693</v>
      </c>
      <c r="T5">
        <v>181</v>
      </c>
      <c r="U5">
        <v>180</v>
      </c>
      <c r="V5">
        <v>7771.4</v>
      </c>
      <c r="W5">
        <v>1E-3</v>
      </c>
      <c r="X5">
        <f t="shared" si="3"/>
        <v>1398.8520000000001</v>
      </c>
      <c r="Y5">
        <f t="shared" si="11"/>
        <v>1399.8721</v>
      </c>
      <c r="Z5">
        <f t="shared" si="4"/>
        <v>1.0200999999999567</v>
      </c>
      <c r="AF5">
        <v>179989920</v>
      </c>
      <c r="AG5">
        <f t="shared" si="12"/>
        <v>180996660</v>
      </c>
      <c r="AH5">
        <v>9.9999999999999995E-7</v>
      </c>
      <c r="AI5">
        <f t="shared" si="5"/>
        <v>179.98991999999998</v>
      </c>
      <c r="AJ5">
        <f t="shared" si="6"/>
        <v>180.99665999999999</v>
      </c>
      <c r="AK5">
        <v>1.007825</v>
      </c>
      <c r="AL5">
        <v>931.49</v>
      </c>
      <c r="AM5">
        <f t="shared" si="7"/>
        <v>1.0106666499898678</v>
      </c>
    </row>
    <row r="6" spans="1:39" x14ac:dyDescent="0.35">
      <c r="A6">
        <v>183</v>
      </c>
      <c r="B6">
        <v>7762.18</v>
      </c>
      <c r="C6">
        <v>1E-3</v>
      </c>
      <c r="D6">
        <f t="shared" si="0"/>
        <v>1420.47894</v>
      </c>
      <c r="E6">
        <v>101</v>
      </c>
      <c r="F6">
        <v>182</v>
      </c>
      <c r="G6">
        <f t="shared" si="8"/>
        <v>1411.6520600000001</v>
      </c>
      <c r="H6">
        <f t="shared" si="9"/>
        <v>8.8268799999998464</v>
      </c>
      <c r="J6">
        <v>101</v>
      </c>
      <c r="K6">
        <v>182991860</v>
      </c>
      <c r="L6">
        <v>9.9999999999999995E-7</v>
      </c>
      <c r="M6">
        <f t="shared" si="1"/>
        <v>182.99186</v>
      </c>
      <c r="N6">
        <f t="shared" si="10"/>
        <v>181.99267399999999</v>
      </c>
      <c r="O6">
        <v>931.49</v>
      </c>
      <c r="P6">
        <v>1.0086649194999999</v>
      </c>
      <c r="Q6">
        <f t="shared" si="2"/>
        <v>8.8295187250527398</v>
      </c>
      <c r="T6">
        <v>182</v>
      </c>
      <c r="U6">
        <v>181</v>
      </c>
      <c r="V6">
        <v>7791.92</v>
      </c>
      <c r="W6">
        <v>1E-3</v>
      </c>
      <c r="X6">
        <f t="shared" si="3"/>
        <v>1410.33752</v>
      </c>
      <c r="Y6">
        <f t="shared" si="11"/>
        <v>1411.6520600000001</v>
      </c>
      <c r="Z6">
        <f t="shared" si="4"/>
        <v>1.3145400000000791</v>
      </c>
      <c r="AF6">
        <v>180986260</v>
      </c>
      <c r="AG6">
        <f t="shared" si="12"/>
        <v>181992674</v>
      </c>
      <c r="AH6">
        <v>9.9999999999999995E-7</v>
      </c>
      <c r="AI6">
        <f t="shared" si="5"/>
        <v>180.98625999999999</v>
      </c>
      <c r="AJ6">
        <f t="shared" si="6"/>
        <v>181.99267399999999</v>
      </c>
      <c r="AK6">
        <v>1.007825</v>
      </c>
      <c r="AL6">
        <v>931.49</v>
      </c>
      <c r="AM6">
        <f t="shared" si="7"/>
        <v>1.3143323899909469</v>
      </c>
    </row>
    <row r="7" spans="1:39" x14ac:dyDescent="0.35">
      <c r="A7">
        <v>184</v>
      </c>
      <c r="B7">
        <v>7782.73</v>
      </c>
      <c r="C7">
        <v>1E-3</v>
      </c>
      <c r="D7">
        <f t="shared" si="0"/>
        <v>1432.0223199999998</v>
      </c>
      <c r="E7">
        <v>102</v>
      </c>
      <c r="F7">
        <v>183</v>
      </c>
      <c r="G7">
        <f t="shared" si="8"/>
        <v>1420.47894</v>
      </c>
      <c r="H7">
        <f t="shared" si="9"/>
        <v>11.543379999999843</v>
      </c>
      <c r="J7">
        <v>102</v>
      </c>
      <c r="K7">
        <v>183988136</v>
      </c>
      <c r="L7">
        <v>9.9999999999999995E-7</v>
      </c>
      <c r="M7">
        <f t="shared" si="1"/>
        <v>183.988136</v>
      </c>
      <c r="N7">
        <f t="shared" si="10"/>
        <v>182.99186</v>
      </c>
      <c r="O7">
        <v>931.49</v>
      </c>
      <c r="P7">
        <v>1.0086649194999999</v>
      </c>
      <c r="Q7">
        <f t="shared" si="2"/>
        <v>11.540154625065947</v>
      </c>
      <c r="T7">
        <v>183</v>
      </c>
      <c r="U7">
        <v>182</v>
      </c>
      <c r="V7">
        <v>7796.36</v>
      </c>
      <c r="W7">
        <v>1E-3</v>
      </c>
      <c r="X7">
        <f t="shared" si="3"/>
        <v>1418.9375199999999</v>
      </c>
      <c r="Y7">
        <f t="shared" si="11"/>
        <v>1420.47894</v>
      </c>
      <c r="Z7">
        <f t="shared" si="4"/>
        <v>1.5414200000000164</v>
      </c>
      <c r="AF7">
        <v>181985693</v>
      </c>
      <c r="AG7">
        <f t="shared" si="12"/>
        <v>182991860</v>
      </c>
      <c r="AH7">
        <v>9.9999999999999995E-7</v>
      </c>
      <c r="AI7">
        <f t="shared" si="5"/>
        <v>181.985693</v>
      </c>
      <c r="AJ7">
        <f t="shared" si="6"/>
        <v>182.99186</v>
      </c>
      <c r="AK7">
        <v>1.007825</v>
      </c>
      <c r="AL7">
        <v>931.49</v>
      </c>
      <c r="AM7">
        <f t="shared" si="7"/>
        <v>1.5444104199924957</v>
      </c>
    </row>
    <row r="8" spans="1:39" x14ac:dyDescent="0.35">
      <c r="A8">
        <v>185</v>
      </c>
      <c r="B8">
        <v>7786.93</v>
      </c>
      <c r="C8">
        <v>1E-3</v>
      </c>
      <c r="D8">
        <f t="shared" si="0"/>
        <v>1440.58205</v>
      </c>
      <c r="E8">
        <v>103</v>
      </c>
      <c r="F8">
        <v>184</v>
      </c>
      <c r="G8">
        <f t="shared" si="8"/>
        <v>1432.0223199999998</v>
      </c>
      <c r="H8">
        <f t="shared" si="9"/>
        <v>8.5597300000001724</v>
      </c>
      <c r="J8">
        <v>103</v>
      </c>
      <c r="K8">
        <v>184987610</v>
      </c>
      <c r="L8">
        <v>9.9999999999999995E-7</v>
      </c>
      <c r="M8">
        <f t="shared" si="1"/>
        <v>184.98760999999999</v>
      </c>
      <c r="N8">
        <f t="shared" si="10"/>
        <v>183.988136</v>
      </c>
      <c r="O8">
        <v>931.49</v>
      </c>
      <c r="P8">
        <v>1.0086649194999999</v>
      </c>
      <c r="Q8">
        <f t="shared" si="2"/>
        <v>8.5612496050681912</v>
      </c>
      <c r="T8">
        <v>184</v>
      </c>
      <c r="U8">
        <v>183</v>
      </c>
      <c r="V8">
        <v>7815.67</v>
      </c>
      <c r="W8">
        <v>1E-3</v>
      </c>
      <c r="X8">
        <f t="shared" si="3"/>
        <v>1430.2676100000001</v>
      </c>
      <c r="Y8">
        <f t="shared" si="11"/>
        <v>1432.0223199999998</v>
      </c>
      <c r="Z8">
        <f t="shared" si="4"/>
        <v>1.7547099999997045</v>
      </c>
      <c r="AF8">
        <v>182982193</v>
      </c>
      <c r="AG8">
        <f t="shared" si="12"/>
        <v>183988136</v>
      </c>
      <c r="AH8">
        <v>9.9999999999999995E-7</v>
      </c>
      <c r="AI8">
        <f t="shared" si="5"/>
        <v>182.982193</v>
      </c>
      <c r="AJ8">
        <f t="shared" si="6"/>
        <v>183.988136</v>
      </c>
      <c r="AK8">
        <v>1.007825</v>
      </c>
      <c r="AL8">
        <v>931.49</v>
      </c>
      <c r="AM8">
        <f t="shared" si="7"/>
        <v>1.7530641799951863</v>
      </c>
    </row>
    <row r="9" spans="1:39" x14ac:dyDescent="0.35">
      <c r="A9">
        <v>186</v>
      </c>
      <c r="B9">
        <v>7805.34</v>
      </c>
      <c r="C9">
        <v>1E-3</v>
      </c>
      <c r="D9">
        <f t="shared" si="0"/>
        <v>1451.79324</v>
      </c>
      <c r="E9">
        <v>104</v>
      </c>
      <c r="F9">
        <v>185</v>
      </c>
      <c r="G9">
        <f t="shared" si="8"/>
        <v>1440.58205</v>
      </c>
      <c r="H9">
        <f t="shared" si="9"/>
        <v>11.211189999999988</v>
      </c>
      <c r="J9">
        <v>104</v>
      </c>
      <c r="K9">
        <v>185984239</v>
      </c>
      <c r="L9">
        <v>9.9999999999999995E-7</v>
      </c>
      <c r="M9">
        <f t="shared" si="1"/>
        <v>185.984239</v>
      </c>
      <c r="N9">
        <f t="shared" si="10"/>
        <v>184.98760999999999</v>
      </c>
      <c r="O9">
        <v>931.49</v>
      </c>
      <c r="P9">
        <v>1.0086649194999999</v>
      </c>
      <c r="Q9">
        <f t="shared" si="2"/>
        <v>11.211338655048943</v>
      </c>
      <c r="T9">
        <v>185</v>
      </c>
      <c r="U9">
        <v>184</v>
      </c>
      <c r="V9">
        <v>7818.67</v>
      </c>
      <c r="W9">
        <v>1E-3</v>
      </c>
      <c r="X9">
        <f t="shared" si="3"/>
        <v>1438.63528</v>
      </c>
      <c r="Y9">
        <f t="shared" si="11"/>
        <v>1440.58205</v>
      </c>
      <c r="Z9">
        <f t="shared" si="4"/>
        <v>1.946770000000015</v>
      </c>
      <c r="AF9">
        <v>183981875</v>
      </c>
      <c r="AG9">
        <f t="shared" si="12"/>
        <v>184987610</v>
      </c>
      <c r="AH9">
        <v>9.9999999999999995E-7</v>
      </c>
      <c r="AI9">
        <f t="shared" si="5"/>
        <v>183.981875</v>
      </c>
      <c r="AJ9">
        <f t="shared" si="6"/>
        <v>184.98760999999999</v>
      </c>
      <c r="AK9">
        <v>1.007825</v>
      </c>
      <c r="AL9">
        <v>931.49</v>
      </c>
      <c r="AM9">
        <f t="shared" si="7"/>
        <v>1.9468141000090311</v>
      </c>
    </row>
    <row r="10" spans="1:39" x14ac:dyDescent="0.35">
      <c r="A10">
        <v>187</v>
      </c>
      <c r="B10">
        <v>7808.4009999999998</v>
      </c>
      <c r="C10">
        <v>1E-3</v>
      </c>
      <c r="D10">
        <f t="shared" si="0"/>
        <v>1460.170987</v>
      </c>
      <c r="E10">
        <v>105</v>
      </c>
      <c r="F10">
        <v>186</v>
      </c>
      <c r="G10">
        <f t="shared" si="8"/>
        <v>1451.79324</v>
      </c>
      <c r="H10">
        <f t="shared" si="9"/>
        <v>8.3777469999999994</v>
      </c>
      <c r="J10">
        <v>105</v>
      </c>
      <c r="K10">
        <v>186983911</v>
      </c>
      <c r="L10">
        <v>9.9999999999999995E-7</v>
      </c>
      <c r="M10">
        <f t="shared" si="1"/>
        <v>186.98391099999998</v>
      </c>
      <c r="N10">
        <f t="shared" si="10"/>
        <v>185.984239</v>
      </c>
      <c r="O10">
        <v>931.49</v>
      </c>
      <c r="P10">
        <v>1.0086649194999999</v>
      </c>
      <c r="Q10">
        <f t="shared" si="2"/>
        <v>8.3768145850837765</v>
      </c>
      <c r="T10">
        <v>186</v>
      </c>
      <c r="U10">
        <v>185</v>
      </c>
      <c r="V10">
        <v>7835.58</v>
      </c>
      <c r="W10">
        <v>1E-3</v>
      </c>
      <c r="X10">
        <f t="shared" si="3"/>
        <v>1449.5823</v>
      </c>
      <c r="Y10">
        <f t="shared" si="11"/>
        <v>1451.79324</v>
      </c>
      <c r="Z10">
        <f t="shared" si="4"/>
        <v>2.2109399999999368</v>
      </c>
      <c r="AF10">
        <v>184978789</v>
      </c>
      <c r="AG10">
        <f t="shared" si="12"/>
        <v>185984239</v>
      </c>
      <c r="AH10">
        <v>9.9999999999999995E-7</v>
      </c>
      <c r="AI10">
        <f t="shared" si="5"/>
        <v>184.97878899999998</v>
      </c>
      <c r="AJ10">
        <f t="shared" si="6"/>
        <v>185.984239</v>
      </c>
      <c r="AK10">
        <v>1.007825</v>
      </c>
      <c r="AL10">
        <v>931.49</v>
      </c>
      <c r="AM10">
        <f t="shared" si="7"/>
        <v>2.212288749974161</v>
      </c>
    </row>
    <row r="11" spans="1:39" x14ac:dyDescent="0.35">
      <c r="A11">
        <v>188</v>
      </c>
      <c r="B11">
        <v>7824.82</v>
      </c>
      <c r="C11">
        <v>1E-3</v>
      </c>
      <c r="D11">
        <f t="shared" si="0"/>
        <v>1471.0661599999999</v>
      </c>
      <c r="E11">
        <v>106</v>
      </c>
      <c r="F11">
        <v>187</v>
      </c>
      <c r="G11">
        <f t="shared" si="8"/>
        <v>1460.170987</v>
      </c>
      <c r="H11">
        <f t="shared" si="9"/>
        <v>10.895172999999886</v>
      </c>
      <c r="J11">
        <v>106</v>
      </c>
      <c r="K11">
        <v>187980879</v>
      </c>
      <c r="L11">
        <v>9.9999999999999995E-7</v>
      </c>
      <c r="M11">
        <f t="shared" si="1"/>
        <v>187.98087899999999</v>
      </c>
      <c r="N11">
        <f t="shared" si="10"/>
        <v>186.98391099999998</v>
      </c>
      <c r="O11">
        <v>931.49</v>
      </c>
      <c r="P11">
        <v>1.0086649194999999</v>
      </c>
      <c r="Q11">
        <f t="shared" si="2"/>
        <v>10.895563545051962</v>
      </c>
      <c r="T11">
        <v>187</v>
      </c>
      <c r="U11">
        <v>186</v>
      </c>
      <c r="V11">
        <v>7837.52</v>
      </c>
      <c r="W11">
        <v>1E-3</v>
      </c>
      <c r="X11">
        <f t="shared" si="3"/>
        <v>1457.77872</v>
      </c>
      <c r="Y11">
        <f t="shared" si="11"/>
        <v>1460.170987</v>
      </c>
      <c r="Z11">
        <f t="shared" si="4"/>
        <v>2.3922669999999471</v>
      </c>
      <c r="AF11">
        <v>185978655</v>
      </c>
      <c r="AG11">
        <f t="shared" si="12"/>
        <v>186983911</v>
      </c>
      <c r="AH11">
        <v>9.9999999999999995E-7</v>
      </c>
      <c r="AI11">
        <f t="shared" si="5"/>
        <v>185.978655</v>
      </c>
      <c r="AJ11">
        <f t="shared" si="6"/>
        <v>186.98391099999998</v>
      </c>
      <c r="AK11">
        <v>1.007825</v>
      </c>
      <c r="AL11">
        <v>931.49</v>
      </c>
      <c r="AM11">
        <f t="shared" si="7"/>
        <v>2.3929978100209306</v>
      </c>
    </row>
    <row r="12" spans="1:39" x14ac:dyDescent="0.35">
      <c r="A12">
        <v>189</v>
      </c>
      <c r="B12">
        <v>7826.3</v>
      </c>
      <c r="C12">
        <v>1E-3</v>
      </c>
      <c r="D12">
        <f t="shared" si="0"/>
        <v>1479.1706999999999</v>
      </c>
      <c r="E12">
        <v>107</v>
      </c>
      <c r="F12">
        <v>188</v>
      </c>
      <c r="G12">
        <f t="shared" si="8"/>
        <v>1471.0661599999999</v>
      </c>
      <c r="H12">
        <f t="shared" si="9"/>
        <v>8.1045400000000427</v>
      </c>
      <c r="J12">
        <v>107</v>
      </c>
      <c r="K12">
        <v>188980844</v>
      </c>
      <c r="L12">
        <v>9.9999999999999995E-7</v>
      </c>
      <c r="M12">
        <f t="shared" si="1"/>
        <v>188.98084399999999</v>
      </c>
      <c r="N12">
        <f t="shared" si="10"/>
        <v>187.98087899999999</v>
      </c>
      <c r="O12">
        <v>931.49</v>
      </c>
      <c r="P12">
        <v>1.0086649194999999</v>
      </c>
      <c r="Q12">
        <f t="shared" si="2"/>
        <v>8.1038880150580379</v>
      </c>
      <c r="T12">
        <v>188</v>
      </c>
      <c r="U12">
        <v>187</v>
      </c>
      <c r="V12">
        <v>7852.47</v>
      </c>
      <c r="W12">
        <v>1E-3</v>
      </c>
      <c r="X12">
        <f t="shared" si="3"/>
        <v>1468.4118900000001</v>
      </c>
      <c r="Y12">
        <f t="shared" si="11"/>
        <v>1471.0661599999999</v>
      </c>
      <c r="Z12">
        <f t="shared" si="4"/>
        <v>2.6542699999997694</v>
      </c>
      <c r="AF12">
        <v>186975905</v>
      </c>
      <c r="AG12">
        <f t="shared" si="12"/>
        <v>187980879</v>
      </c>
      <c r="AH12">
        <v>9.9999999999999995E-7</v>
      </c>
      <c r="AI12">
        <f t="shared" si="5"/>
        <v>186.97590499999998</v>
      </c>
      <c r="AJ12">
        <f t="shared" si="6"/>
        <v>187.98087899999999</v>
      </c>
      <c r="AK12">
        <v>1.007825</v>
      </c>
      <c r="AL12">
        <v>931.49</v>
      </c>
      <c r="AM12">
        <f t="shared" si="7"/>
        <v>2.6556779899931158</v>
      </c>
    </row>
    <row r="13" spans="1:39" x14ac:dyDescent="0.35">
      <c r="A13">
        <v>190</v>
      </c>
      <c r="B13">
        <v>7841.13</v>
      </c>
      <c r="C13">
        <v>1E-3</v>
      </c>
      <c r="D13">
        <f t="shared" si="0"/>
        <v>1489.8146999999999</v>
      </c>
      <c r="E13">
        <v>108</v>
      </c>
      <c r="F13">
        <v>189</v>
      </c>
      <c r="G13">
        <f t="shared" si="8"/>
        <v>1479.1706999999999</v>
      </c>
      <c r="H13">
        <f t="shared" si="9"/>
        <v>10.644000000000005</v>
      </c>
      <c r="J13">
        <v>108</v>
      </c>
      <c r="K13">
        <v>189978082</v>
      </c>
      <c r="L13">
        <v>9.9999999999999995E-7</v>
      </c>
      <c r="M13">
        <f t="shared" si="1"/>
        <v>189.978082</v>
      </c>
      <c r="N13">
        <f t="shared" si="10"/>
        <v>188.98084399999999</v>
      </c>
      <c r="O13">
        <v>931.49</v>
      </c>
      <c r="P13">
        <v>1.0086649194999999</v>
      </c>
      <c r="Q13">
        <f t="shared" si="2"/>
        <v>10.644061245051555</v>
      </c>
      <c r="T13">
        <v>189</v>
      </c>
      <c r="U13">
        <v>188</v>
      </c>
      <c r="V13">
        <v>7853.05</v>
      </c>
      <c r="W13">
        <v>1E-3</v>
      </c>
      <c r="X13">
        <f t="shared" si="3"/>
        <v>1476.3734000000002</v>
      </c>
      <c r="Y13">
        <f t="shared" si="11"/>
        <v>1479.1706999999999</v>
      </c>
      <c r="Z13">
        <f t="shared" si="4"/>
        <v>2.7972999999997228</v>
      </c>
      <c r="AF13">
        <v>187980879</v>
      </c>
      <c r="AG13">
        <f t="shared" si="12"/>
        <v>188980844</v>
      </c>
      <c r="AH13">
        <v>9.9999999999999995E-7</v>
      </c>
      <c r="AI13">
        <f t="shared" si="5"/>
        <v>187.98087899999999</v>
      </c>
      <c r="AJ13">
        <f t="shared" si="6"/>
        <v>188.98084399999999</v>
      </c>
      <c r="AK13">
        <v>1.007825</v>
      </c>
      <c r="AL13">
        <v>931.49</v>
      </c>
      <c r="AM13">
        <f t="shared" si="7"/>
        <v>7.3215113999941881</v>
      </c>
    </row>
    <row r="14" spans="1:39" x14ac:dyDescent="0.35">
      <c r="A14">
        <v>191</v>
      </c>
      <c r="B14">
        <v>7841.68</v>
      </c>
      <c r="C14">
        <v>1E-3</v>
      </c>
      <c r="D14">
        <f t="shared" si="0"/>
        <v>1497.76088</v>
      </c>
      <c r="E14">
        <v>109</v>
      </c>
      <c r="F14">
        <v>190</v>
      </c>
      <c r="G14">
        <f t="shared" si="8"/>
        <v>1489.8146999999999</v>
      </c>
      <c r="H14">
        <f t="shared" si="9"/>
        <v>7.9461800000001404</v>
      </c>
      <c r="J14">
        <v>109</v>
      </c>
      <c r="K14">
        <v>190978216</v>
      </c>
      <c r="L14">
        <v>9.9999999999999995E-7</v>
      </c>
      <c r="M14">
        <f t="shared" si="1"/>
        <v>190.978216</v>
      </c>
      <c r="N14">
        <f t="shared" si="10"/>
        <v>189.978082</v>
      </c>
      <c r="O14">
        <v>931.49</v>
      </c>
      <c r="P14">
        <v>1.0086649194999999</v>
      </c>
      <c r="Q14">
        <f t="shared" si="2"/>
        <v>7.9464662050583721</v>
      </c>
      <c r="T14">
        <v>190</v>
      </c>
      <c r="U14">
        <v>189</v>
      </c>
      <c r="V14">
        <v>7866.27</v>
      </c>
      <c r="W14">
        <v>1E-3</v>
      </c>
      <c r="X14">
        <f t="shared" si="3"/>
        <v>1486.7250300000001</v>
      </c>
      <c r="Y14">
        <f t="shared" si="11"/>
        <v>1489.8146999999999</v>
      </c>
      <c r="Z14">
        <f t="shared" si="4"/>
        <v>3.0896699999998418</v>
      </c>
      <c r="AF14">
        <v>188973574</v>
      </c>
      <c r="AG14">
        <f t="shared" si="12"/>
        <v>189978082</v>
      </c>
      <c r="AH14">
        <v>9.9999999999999995E-7</v>
      </c>
      <c r="AI14">
        <f t="shared" si="5"/>
        <v>188.97357399999999</v>
      </c>
      <c r="AJ14">
        <f t="shared" si="6"/>
        <v>189.978082</v>
      </c>
      <c r="AK14">
        <v>1.007825</v>
      </c>
      <c r="AL14">
        <v>931.49</v>
      </c>
      <c r="AM14">
        <f t="shared" si="7"/>
        <v>3.0897523299826397</v>
      </c>
    </row>
    <row r="15" spans="1:39" x14ac:dyDescent="0.35">
      <c r="A15">
        <v>192</v>
      </c>
      <c r="B15">
        <v>7854.6480000000001</v>
      </c>
      <c r="C15">
        <v>1E-3</v>
      </c>
      <c r="D15">
        <f t="shared" si="0"/>
        <v>1508.092416</v>
      </c>
      <c r="E15">
        <v>110</v>
      </c>
      <c r="F15">
        <v>191</v>
      </c>
      <c r="G15">
        <f t="shared" si="8"/>
        <v>1497.76088</v>
      </c>
      <c r="H15">
        <f t="shared" si="9"/>
        <v>10.331535999999915</v>
      </c>
      <c r="J15">
        <v>110</v>
      </c>
      <c r="K15">
        <v>191975790</v>
      </c>
      <c r="L15">
        <v>9.9999999999999995E-7</v>
      </c>
      <c r="M15">
        <f t="shared" si="1"/>
        <v>191.97578999999999</v>
      </c>
      <c r="N15">
        <f t="shared" si="10"/>
        <v>190.978216</v>
      </c>
      <c r="O15">
        <v>931.49</v>
      </c>
      <c r="P15">
        <v>1.0086649194999999</v>
      </c>
      <c r="Q15">
        <f t="shared" si="2"/>
        <v>10.331080605073995</v>
      </c>
      <c r="T15">
        <v>191</v>
      </c>
      <c r="U15">
        <v>190</v>
      </c>
      <c r="V15">
        <v>7866.03</v>
      </c>
      <c r="W15">
        <v>1E-3</v>
      </c>
      <c r="X15">
        <f t="shared" si="3"/>
        <v>1494.5456999999999</v>
      </c>
      <c r="Y15">
        <f t="shared" si="11"/>
        <v>1497.76088</v>
      </c>
      <c r="Z15">
        <f t="shared" si="4"/>
        <v>3.2151800000001458</v>
      </c>
      <c r="AF15">
        <v>189966322</v>
      </c>
      <c r="AG15">
        <f t="shared" si="12"/>
        <v>190978216</v>
      </c>
      <c r="AH15">
        <v>9.9999999999999995E-7</v>
      </c>
      <c r="AI15">
        <f t="shared" si="5"/>
        <v>189.96632199999999</v>
      </c>
      <c r="AJ15">
        <f t="shared" si="6"/>
        <v>190.978216</v>
      </c>
      <c r="AK15">
        <v>1.007825</v>
      </c>
      <c r="AL15">
        <v>931.49</v>
      </c>
      <c r="AM15">
        <f t="shared" si="7"/>
        <v>-3.790232810014365</v>
      </c>
    </row>
    <row r="16" spans="1:39" x14ac:dyDescent="0.35">
      <c r="A16">
        <v>193</v>
      </c>
      <c r="B16">
        <v>7854.1</v>
      </c>
      <c r="C16">
        <v>1E-3</v>
      </c>
      <c r="D16">
        <f t="shared" si="0"/>
        <v>1515.8413</v>
      </c>
      <c r="E16">
        <v>111</v>
      </c>
      <c r="F16">
        <v>192</v>
      </c>
      <c r="G16">
        <f t="shared" si="8"/>
        <v>1508.092416</v>
      </c>
      <c r="H16">
        <f t="shared" si="9"/>
        <v>7.7488840000000891</v>
      </c>
      <c r="J16">
        <v>111</v>
      </c>
      <c r="K16">
        <v>192976136</v>
      </c>
      <c r="L16">
        <v>9.9999999999999995E-7</v>
      </c>
      <c r="M16">
        <f t="shared" si="1"/>
        <v>192.976136</v>
      </c>
      <c r="N16">
        <f t="shared" si="10"/>
        <v>191.97578999999999</v>
      </c>
      <c r="O16">
        <v>931.49</v>
      </c>
      <c r="P16">
        <v>1.0086649194999999</v>
      </c>
      <c r="Q16">
        <f t="shared" si="2"/>
        <v>7.748990325053934</v>
      </c>
      <c r="T16">
        <v>192</v>
      </c>
      <c r="U16">
        <v>191</v>
      </c>
      <c r="V16">
        <v>7877.14</v>
      </c>
      <c r="W16">
        <v>1E-3</v>
      </c>
      <c r="X16">
        <f t="shared" si="3"/>
        <v>1504.5337400000001</v>
      </c>
      <c r="Y16">
        <f t="shared" si="11"/>
        <v>1508.092416</v>
      </c>
      <c r="Z16">
        <f t="shared" si="4"/>
        <v>3.5586759999998776</v>
      </c>
      <c r="AF16">
        <v>190971784</v>
      </c>
      <c r="AG16">
        <f t="shared" si="12"/>
        <v>191975790</v>
      </c>
      <c r="AH16">
        <v>9.9999999999999995E-7</v>
      </c>
      <c r="AI16">
        <f t="shared" si="5"/>
        <v>190.97178399999999</v>
      </c>
      <c r="AJ16">
        <f t="shared" si="6"/>
        <v>191.97578999999999</v>
      </c>
      <c r="AK16">
        <v>1.007825</v>
      </c>
      <c r="AL16">
        <v>931.49</v>
      </c>
      <c r="AM16">
        <f t="shared" si="7"/>
        <v>3.5573603099933973</v>
      </c>
    </row>
    <row r="17" spans="1:39" x14ac:dyDescent="0.35">
      <c r="A17">
        <v>194</v>
      </c>
      <c r="B17">
        <v>7865.42</v>
      </c>
      <c r="C17">
        <v>1E-3</v>
      </c>
      <c r="D17">
        <f t="shared" si="0"/>
        <v>1525.89148</v>
      </c>
      <c r="E17">
        <v>112</v>
      </c>
      <c r="F17">
        <v>193</v>
      </c>
      <c r="G17">
        <f t="shared" si="8"/>
        <v>1515.8413</v>
      </c>
      <c r="H17">
        <f t="shared" si="9"/>
        <v>10.050179999999955</v>
      </c>
      <c r="J17">
        <v>112</v>
      </c>
      <c r="K17">
        <v>193974012</v>
      </c>
      <c r="L17">
        <v>9.9999999999999995E-7</v>
      </c>
      <c r="M17">
        <f t="shared" si="1"/>
        <v>193.97401199999999</v>
      </c>
      <c r="N17">
        <f t="shared" si="10"/>
        <v>192.976136</v>
      </c>
      <c r="O17">
        <v>931.49</v>
      </c>
      <c r="P17">
        <v>1.0086649194999999</v>
      </c>
      <c r="Q17">
        <f t="shared" si="2"/>
        <v>10.049770625069421</v>
      </c>
      <c r="T17">
        <v>193</v>
      </c>
      <c r="U17">
        <v>192</v>
      </c>
      <c r="V17">
        <v>7876.02</v>
      </c>
      <c r="W17">
        <v>1E-3</v>
      </c>
      <c r="X17">
        <f t="shared" si="3"/>
        <v>1512.1958400000001</v>
      </c>
      <c r="Y17">
        <f t="shared" si="11"/>
        <v>1515.8413</v>
      </c>
      <c r="Z17">
        <f t="shared" si="4"/>
        <v>3.6454599999999573</v>
      </c>
      <c r="AF17">
        <v>191972230</v>
      </c>
      <c r="AG17">
        <f t="shared" si="12"/>
        <v>192976136</v>
      </c>
      <c r="AH17">
        <v>9.9999999999999995E-7</v>
      </c>
      <c r="AI17">
        <f t="shared" si="5"/>
        <v>191.97223</v>
      </c>
      <c r="AJ17">
        <f t="shared" si="6"/>
        <v>192.976136</v>
      </c>
      <c r="AK17">
        <v>1.007825</v>
      </c>
      <c r="AL17">
        <v>931.49</v>
      </c>
      <c r="AM17">
        <f t="shared" si="7"/>
        <v>3.6505093099964894</v>
      </c>
    </row>
    <row r="18" spans="1:39" x14ac:dyDescent="0.35">
      <c r="A18">
        <v>195</v>
      </c>
      <c r="B18">
        <v>7864.0649999999996</v>
      </c>
      <c r="C18">
        <v>1E-3</v>
      </c>
      <c r="D18">
        <f t="shared" si="0"/>
        <v>1533.4926749999997</v>
      </c>
      <c r="E18">
        <v>113</v>
      </c>
      <c r="F18">
        <v>194</v>
      </c>
      <c r="G18">
        <f t="shared" si="8"/>
        <v>1525.89148</v>
      </c>
      <c r="H18">
        <f t="shared" si="9"/>
        <v>7.6011949999997341</v>
      </c>
      <c r="J18">
        <v>113</v>
      </c>
      <c r="K18">
        <v>194974516</v>
      </c>
      <c r="L18">
        <v>9.9999999999999995E-7</v>
      </c>
      <c r="M18">
        <f t="shared" si="1"/>
        <v>194.97451599999999</v>
      </c>
      <c r="N18">
        <f t="shared" si="10"/>
        <v>193.97401199999999</v>
      </c>
      <c r="O18">
        <v>931.49</v>
      </c>
      <c r="P18">
        <v>1.0086649194999999</v>
      </c>
      <c r="Q18">
        <f t="shared" si="2"/>
        <v>7.6018149050548729</v>
      </c>
      <c r="T18">
        <v>194</v>
      </c>
      <c r="U18">
        <v>193</v>
      </c>
      <c r="V18">
        <v>7885.34</v>
      </c>
      <c r="W18">
        <v>1E-3</v>
      </c>
      <c r="X18">
        <f t="shared" si="3"/>
        <v>1521.8706200000001</v>
      </c>
      <c r="Y18">
        <f t="shared" si="11"/>
        <v>1525.89148</v>
      </c>
      <c r="Z18">
        <f t="shared" si="4"/>
        <v>4.0208599999998569</v>
      </c>
      <c r="AF18">
        <v>192970502</v>
      </c>
      <c r="AG18">
        <f t="shared" si="12"/>
        <v>193974012</v>
      </c>
      <c r="AH18">
        <v>9.9999999999999995E-7</v>
      </c>
      <c r="AI18">
        <f t="shared" si="5"/>
        <v>192.97050199999998</v>
      </c>
      <c r="AJ18">
        <f t="shared" si="6"/>
        <v>193.97401199999999</v>
      </c>
      <c r="AK18">
        <v>1.007825</v>
      </c>
      <c r="AL18">
        <v>931.49</v>
      </c>
      <c r="AM18">
        <f t="shared" si="7"/>
        <v>4.0193793499917909</v>
      </c>
    </row>
    <row r="19" spans="1:39" x14ac:dyDescent="0.35">
      <c r="A19">
        <v>196</v>
      </c>
      <c r="B19">
        <v>7873.34</v>
      </c>
      <c r="C19">
        <v>1E-3</v>
      </c>
      <c r="D19">
        <f t="shared" si="0"/>
        <v>1543.1746400000002</v>
      </c>
      <c r="E19">
        <v>114</v>
      </c>
      <c r="F19">
        <v>195</v>
      </c>
      <c r="G19">
        <f t="shared" si="8"/>
        <v>1533.4926749999997</v>
      </c>
      <c r="H19">
        <f t="shared" si="9"/>
        <v>9.6819650000004458</v>
      </c>
      <c r="J19">
        <v>114</v>
      </c>
      <c r="K19">
        <v>195972788</v>
      </c>
      <c r="L19">
        <v>9.9999999999999995E-7</v>
      </c>
      <c r="M19">
        <f t="shared" si="1"/>
        <v>195.97278799999998</v>
      </c>
      <c r="N19">
        <f t="shared" si="10"/>
        <v>194.97451599999999</v>
      </c>
      <c r="O19">
        <v>931.49</v>
      </c>
      <c r="P19">
        <v>1.0086649194999999</v>
      </c>
      <c r="Q19">
        <f t="shared" si="2"/>
        <v>9.6809005850741201</v>
      </c>
      <c r="T19">
        <v>195</v>
      </c>
      <c r="U19">
        <v>194</v>
      </c>
      <c r="V19">
        <v>7883.52</v>
      </c>
      <c r="W19">
        <v>1E-3</v>
      </c>
      <c r="X19">
        <f t="shared" si="3"/>
        <v>1529.4028800000001</v>
      </c>
      <c r="Y19">
        <f t="shared" si="11"/>
        <v>1533.4926749999997</v>
      </c>
      <c r="Z19">
        <f t="shared" si="4"/>
        <v>4.0897949999996399</v>
      </c>
      <c r="AF19">
        <v>193971081</v>
      </c>
      <c r="AG19">
        <f t="shared" si="12"/>
        <v>194974516</v>
      </c>
      <c r="AH19">
        <v>9.9999999999999995E-7</v>
      </c>
      <c r="AI19">
        <f t="shared" si="5"/>
        <v>193.971081</v>
      </c>
      <c r="AJ19">
        <f t="shared" si="6"/>
        <v>194.97451599999999</v>
      </c>
      <c r="AK19">
        <v>1.007825</v>
      </c>
      <c r="AL19">
        <v>931.49</v>
      </c>
      <c r="AM19">
        <f t="shared" si="7"/>
        <v>4.0892411000007289</v>
      </c>
    </row>
    <row r="20" spans="1:39" x14ac:dyDescent="0.35">
      <c r="A20">
        <v>197</v>
      </c>
      <c r="B20">
        <v>7871.2820000000002</v>
      </c>
      <c r="C20">
        <v>1E-3</v>
      </c>
      <c r="D20">
        <f t="shared" si="0"/>
        <v>1550.642554</v>
      </c>
      <c r="E20">
        <v>115</v>
      </c>
      <c r="F20">
        <v>196</v>
      </c>
      <c r="G20">
        <f t="shared" si="8"/>
        <v>1543.1746400000002</v>
      </c>
      <c r="H20">
        <f t="shared" si="9"/>
        <v>7.467913999999837</v>
      </c>
      <c r="J20">
        <v>115</v>
      </c>
      <c r="K20">
        <v>196973435</v>
      </c>
      <c r="L20">
        <v>9.9999999999999995E-7</v>
      </c>
      <c r="M20">
        <f t="shared" si="1"/>
        <v>196.97343499999999</v>
      </c>
      <c r="N20">
        <f t="shared" si="10"/>
        <v>195.97278799999998</v>
      </c>
      <c r="O20">
        <v>931.49</v>
      </c>
      <c r="P20">
        <v>1.0086649194999999</v>
      </c>
      <c r="Q20">
        <f t="shared" si="2"/>
        <v>7.4686118350470094</v>
      </c>
      <c r="T20">
        <v>196</v>
      </c>
      <c r="U20">
        <v>195</v>
      </c>
      <c r="V20">
        <v>7890.73</v>
      </c>
      <c r="W20">
        <v>1E-3</v>
      </c>
      <c r="X20">
        <f t="shared" si="3"/>
        <v>1538.6923499999998</v>
      </c>
      <c r="Y20">
        <f t="shared" si="11"/>
        <v>1543.1746400000002</v>
      </c>
      <c r="Z20">
        <f t="shared" si="4"/>
        <v>4.4822900000003756</v>
      </c>
      <c r="AF20">
        <v>194969774</v>
      </c>
      <c r="AG20">
        <f t="shared" si="12"/>
        <v>195972788</v>
      </c>
      <c r="AH20">
        <v>9.9999999999999995E-7</v>
      </c>
      <c r="AI20">
        <f t="shared" si="5"/>
        <v>194.969774</v>
      </c>
      <c r="AJ20">
        <f t="shared" si="6"/>
        <v>195.97278799999998</v>
      </c>
      <c r="AK20">
        <v>1.007825</v>
      </c>
      <c r="AL20">
        <v>931.49</v>
      </c>
      <c r="AM20">
        <f t="shared" si="7"/>
        <v>4.4813983900166594</v>
      </c>
    </row>
    <row r="21" spans="1:39" x14ac:dyDescent="0.35">
      <c r="A21">
        <v>198</v>
      </c>
      <c r="B21">
        <v>7878.97</v>
      </c>
      <c r="C21">
        <v>1E-3</v>
      </c>
      <c r="D21">
        <f t="shared" si="0"/>
        <v>1560.0360600000001</v>
      </c>
      <c r="E21">
        <v>116</v>
      </c>
      <c r="F21">
        <v>197</v>
      </c>
      <c r="G21">
        <f t="shared" si="8"/>
        <v>1550.642554</v>
      </c>
      <c r="H21">
        <f t="shared" si="9"/>
        <v>9.3935060000001158</v>
      </c>
      <c r="J21">
        <v>116</v>
      </c>
      <c r="K21">
        <v>197972015</v>
      </c>
      <c r="L21">
        <v>9.9999999999999995E-7</v>
      </c>
      <c r="M21">
        <f t="shared" si="1"/>
        <v>197.972015</v>
      </c>
      <c r="N21">
        <f t="shared" si="10"/>
        <v>196.97343499999999</v>
      </c>
      <c r="O21">
        <v>931.49</v>
      </c>
      <c r="P21">
        <v>1.0086649194999999</v>
      </c>
      <c r="Q21">
        <f t="shared" si="2"/>
        <v>9.394001665057182</v>
      </c>
      <c r="T21">
        <v>197</v>
      </c>
      <c r="U21">
        <v>196</v>
      </c>
      <c r="V21">
        <v>7888.29</v>
      </c>
      <c r="W21">
        <v>1E-3</v>
      </c>
      <c r="X21">
        <f t="shared" si="3"/>
        <v>1546.1048400000002</v>
      </c>
      <c r="Y21">
        <f t="shared" si="11"/>
        <v>1550.642554</v>
      </c>
      <c r="Z21">
        <f t="shared" si="4"/>
        <v>4.5377139999998235</v>
      </c>
      <c r="AF21">
        <v>195970481</v>
      </c>
      <c r="AG21">
        <f t="shared" si="12"/>
        <v>196973435</v>
      </c>
      <c r="AH21">
        <v>9.9999999999999995E-7</v>
      </c>
      <c r="AI21">
        <f t="shared" si="5"/>
        <v>195.97048099999998</v>
      </c>
      <c r="AJ21">
        <f t="shared" si="6"/>
        <v>196.97343499999999</v>
      </c>
      <c r="AK21">
        <v>1.007825</v>
      </c>
      <c r="AL21">
        <v>931.49</v>
      </c>
      <c r="AM21">
        <f t="shared" si="7"/>
        <v>4.5372877899814501</v>
      </c>
    </row>
    <row r="22" spans="1:39" x14ac:dyDescent="0.35">
      <c r="A22">
        <v>199</v>
      </c>
      <c r="B22">
        <v>7875.74</v>
      </c>
      <c r="C22">
        <v>1E-3</v>
      </c>
      <c r="D22">
        <f t="shared" si="0"/>
        <v>1567.27226</v>
      </c>
      <c r="E22">
        <v>117</v>
      </c>
      <c r="F22">
        <v>198</v>
      </c>
      <c r="G22">
        <f t="shared" si="8"/>
        <v>1560.0360600000001</v>
      </c>
      <c r="H22">
        <f t="shared" si="9"/>
        <v>7.2361999999998261</v>
      </c>
      <c r="J22">
        <v>117</v>
      </c>
      <c r="K22">
        <v>198972913</v>
      </c>
      <c r="L22">
        <v>9.9999999999999995E-7</v>
      </c>
      <c r="M22">
        <f t="shared" si="1"/>
        <v>198.97291299999998</v>
      </c>
      <c r="N22">
        <f t="shared" si="10"/>
        <v>197.972015</v>
      </c>
      <c r="O22">
        <v>931.49</v>
      </c>
      <c r="P22">
        <v>1.0086649194999999</v>
      </c>
      <c r="Q22">
        <f t="shared" si="2"/>
        <v>7.2348078450813427</v>
      </c>
      <c r="T22">
        <v>198</v>
      </c>
      <c r="U22">
        <v>197</v>
      </c>
      <c r="V22">
        <v>7893.57</v>
      </c>
      <c r="W22">
        <v>1E-3</v>
      </c>
      <c r="X22">
        <f t="shared" si="3"/>
        <v>1555.0332900000001</v>
      </c>
      <c r="Y22">
        <f t="shared" si="11"/>
        <v>1560.0360600000001</v>
      </c>
      <c r="Z22">
        <f t="shared" si="4"/>
        <v>5.002770000000055</v>
      </c>
      <c r="AF22">
        <v>196969560</v>
      </c>
      <c r="AG22">
        <f t="shared" si="12"/>
        <v>197972015</v>
      </c>
      <c r="AH22">
        <v>9.9999999999999995E-7</v>
      </c>
      <c r="AI22">
        <f t="shared" si="5"/>
        <v>196.96956</v>
      </c>
      <c r="AJ22">
        <f t="shared" si="6"/>
        <v>197.972015</v>
      </c>
      <c r="AK22">
        <v>1.007825</v>
      </c>
      <c r="AL22">
        <v>931.49</v>
      </c>
      <c r="AM22">
        <f t="shared" si="7"/>
        <v>5.0021012999992633</v>
      </c>
    </row>
    <row r="23" spans="1:39" x14ac:dyDescent="0.35">
      <c r="A23">
        <v>200</v>
      </c>
      <c r="B23">
        <v>7881.81</v>
      </c>
      <c r="C23">
        <v>1E-3</v>
      </c>
      <c r="D23">
        <f t="shared" si="0"/>
        <v>1576.3620000000001</v>
      </c>
      <c r="E23">
        <v>118</v>
      </c>
      <c r="F23">
        <v>199</v>
      </c>
      <c r="G23">
        <f t="shared" si="8"/>
        <v>1567.27226</v>
      </c>
      <c r="H23">
        <f t="shared" si="9"/>
        <v>9.0897400000001198</v>
      </c>
      <c r="J23">
        <v>118</v>
      </c>
      <c r="K23">
        <v>199971819</v>
      </c>
      <c r="L23">
        <v>9.9999999999999995E-7</v>
      </c>
      <c r="M23">
        <f t="shared" si="1"/>
        <v>199.97181899999998</v>
      </c>
      <c r="N23">
        <f t="shared" si="10"/>
        <v>198.97291299999998</v>
      </c>
      <c r="O23">
        <v>931.49</v>
      </c>
      <c r="P23">
        <v>1.0086649194999999</v>
      </c>
      <c r="Q23">
        <f t="shared" si="2"/>
        <v>9.0903359250561024</v>
      </c>
      <c r="T23">
        <v>199</v>
      </c>
      <c r="U23">
        <v>198</v>
      </c>
      <c r="V23">
        <v>7890.3</v>
      </c>
      <c r="W23">
        <v>1E-3</v>
      </c>
      <c r="X23">
        <f t="shared" si="3"/>
        <v>1562.2794000000001</v>
      </c>
      <c r="Y23">
        <f t="shared" si="11"/>
        <v>1567.27226</v>
      </c>
      <c r="Z23">
        <f t="shared" si="4"/>
        <v>4.9928599999998369</v>
      </c>
      <c r="AF23">
        <v>197970447</v>
      </c>
      <c r="AG23">
        <f t="shared" si="12"/>
        <v>198972913</v>
      </c>
      <c r="AH23">
        <v>9.9999999999999995E-7</v>
      </c>
      <c r="AI23">
        <f t="shared" si="5"/>
        <v>197.97044699999998</v>
      </c>
      <c r="AJ23">
        <f t="shared" si="6"/>
        <v>198.97291299999998</v>
      </c>
      <c r="AK23">
        <v>1.007825</v>
      </c>
      <c r="AL23">
        <v>931.49</v>
      </c>
      <c r="AM23">
        <f t="shared" si="7"/>
        <v>4.9918549099986578</v>
      </c>
    </row>
    <row r="24" spans="1:39" x14ac:dyDescent="0.35">
      <c r="A24">
        <v>201</v>
      </c>
      <c r="B24">
        <v>7877.88</v>
      </c>
      <c r="C24">
        <v>1E-3</v>
      </c>
      <c r="D24">
        <f t="shared" si="0"/>
        <v>1583.4538800000003</v>
      </c>
      <c r="E24">
        <v>119</v>
      </c>
      <c r="F24">
        <v>200</v>
      </c>
      <c r="G24">
        <f t="shared" si="8"/>
        <v>1576.3620000000001</v>
      </c>
      <c r="H24">
        <f t="shared" si="9"/>
        <v>7.0918800000001738</v>
      </c>
      <c r="J24">
        <v>119</v>
      </c>
      <c r="K24">
        <v>200972870</v>
      </c>
      <c r="L24">
        <v>9.9999999999999995E-7</v>
      </c>
      <c r="M24">
        <f t="shared" si="1"/>
        <v>200.97287</v>
      </c>
      <c r="N24">
        <f t="shared" si="10"/>
        <v>199.97181899999998</v>
      </c>
      <c r="O24">
        <v>931.49</v>
      </c>
      <c r="P24">
        <v>1.0086649194999999</v>
      </c>
      <c r="Q24">
        <f t="shared" si="2"/>
        <v>7.092289875044048</v>
      </c>
      <c r="T24">
        <v>200</v>
      </c>
      <c r="U24">
        <v>199</v>
      </c>
      <c r="V24">
        <v>7893.88</v>
      </c>
      <c r="W24">
        <v>1E-3</v>
      </c>
      <c r="X24">
        <f t="shared" si="3"/>
        <v>1570.8821200000002</v>
      </c>
      <c r="Y24">
        <f t="shared" si="11"/>
        <v>1576.3620000000001</v>
      </c>
      <c r="Z24">
        <f t="shared" si="4"/>
        <v>5.4798799999998664</v>
      </c>
      <c r="AF24">
        <v>198969880</v>
      </c>
      <c r="AG24">
        <f t="shared" si="12"/>
        <v>199971819</v>
      </c>
      <c r="AH24">
        <v>9.9999999999999995E-7</v>
      </c>
      <c r="AI24">
        <f t="shared" si="5"/>
        <v>198.96987999999999</v>
      </c>
      <c r="AJ24">
        <f t="shared" si="6"/>
        <v>199.97181899999998</v>
      </c>
      <c r="AK24">
        <v>1.007825</v>
      </c>
      <c r="AL24">
        <v>931.49</v>
      </c>
      <c r="AM24">
        <f t="shared" si="7"/>
        <v>5.4827501400035699</v>
      </c>
    </row>
    <row r="25" spans="1:39" x14ac:dyDescent="0.35">
      <c r="A25">
        <v>202</v>
      </c>
      <c r="B25">
        <v>7882.1509999999998</v>
      </c>
      <c r="C25">
        <v>1E-3</v>
      </c>
      <c r="D25">
        <f t="shared" si="0"/>
        <v>1592.1945019999998</v>
      </c>
      <c r="E25">
        <v>120</v>
      </c>
      <c r="F25">
        <v>201</v>
      </c>
      <c r="G25">
        <f t="shared" si="8"/>
        <v>1583.4538800000003</v>
      </c>
      <c r="H25">
        <f t="shared" si="9"/>
        <v>8.7406219999995756</v>
      </c>
      <c r="J25">
        <v>120</v>
      </c>
      <c r="K25">
        <v>201972152</v>
      </c>
      <c r="L25">
        <v>9.9999999999999995E-7</v>
      </c>
      <c r="M25">
        <f t="shared" si="1"/>
        <v>201.97215199999999</v>
      </c>
      <c r="N25">
        <f t="shared" si="10"/>
        <v>200.97287</v>
      </c>
      <c r="O25">
        <v>931.49</v>
      </c>
      <c r="P25">
        <v>1.0086649194999999</v>
      </c>
      <c r="Q25">
        <f t="shared" si="2"/>
        <v>8.7400956850667146</v>
      </c>
      <c r="T25">
        <v>201</v>
      </c>
      <c r="U25">
        <v>200</v>
      </c>
      <c r="V25">
        <v>7889.7039999999997</v>
      </c>
      <c r="W25">
        <v>1E-3</v>
      </c>
      <c r="X25">
        <f t="shared" si="3"/>
        <v>1577.9408000000001</v>
      </c>
      <c r="Y25">
        <f t="shared" si="11"/>
        <v>1583.4538800000003</v>
      </c>
      <c r="Z25">
        <f t="shared" si="4"/>
        <v>5.5130800000001727</v>
      </c>
      <c r="AF25">
        <v>199970964</v>
      </c>
      <c r="AG25">
        <f t="shared" si="12"/>
        <v>200972870</v>
      </c>
      <c r="AH25">
        <v>9.9999999999999995E-7</v>
      </c>
      <c r="AI25">
        <f t="shared" si="5"/>
        <v>199.97096399999998</v>
      </c>
      <c r="AJ25">
        <f t="shared" si="6"/>
        <v>200.97287</v>
      </c>
      <c r="AK25">
        <v>1.007825</v>
      </c>
      <c r="AL25">
        <v>931.49</v>
      </c>
      <c r="AM25">
        <f t="shared" si="7"/>
        <v>5.51348930997891</v>
      </c>
    </row>
    <row r="26" spans="1:39" x14ac:dyDescent="0.35">
      <c r="A26">
        <v>203</v>
      </c>
      <c r="B26">
        <v>7877.4</v>
      </c>
      <c r="C26">
        <v>1E-3</v>
      </c>
      <c r="D26">
        <f t="shared" si="0"/>
        <v>1599.1122</v>
      </c>
      <c r="E26">
        <v>121</v>
      </c>
      <c r="F26">
        <v>202</v>
      </c>
      <c r="G26">
        <f t="shared" si="8"/>
        <v>1592.1945019999998</v>
      </c>
      <c r="H26">
        <f t="shared" si="9"/>
        <v>6.9176980000002004</v>
      </c>
      <c r="J26">
        <v>121</v>
      </c>
      <c r="K26">
        <v>202973391</v>
      </c>
      <c r="L26">
        <v>9.9999999999999995E-7</v>
      </c>
      <c r="M26">
        <f t="shared" si="1"/>
        <v>202.97339099999999</v>
      </c>
      <c r="N26">
        <f t="shared" si="10"/>
        <v>201.97215199999999</v>
      </c>
      <c r="O26">
        <v>931.49</v>
      </c>
      <c r="P26">
        <v>1.0086649194999999</v>
      </c>
      <c r="Q26">
        <f t="shared" si="2"/>
        <v>6.9171697550625906</v>
      </c>
      <c r="T26">
        <v>202</v>
      </c>
      <c r="U26">
        <v>201</v>
      </c>
      <c r="V26">
        <v>7891.27</v>
      </c>
      <c r="W26">
        <v>1E-3</v>
      </c>
      <c r="X26">
        <f t="shared" si="3"/>
        <v>1586.14527</v>
      </c>
      <c r="Y26">
        <f t="shared" si="11"/>
        <v>1592.1945019999998</v>
      </c>
      <c r="Z26">
        <f t="shared" si="4"/>
        <v>6.0492319999998472</v>
      </c>
      <c r="AF26">
        <v>200970820</v>
      </c>
      <c r="AG26">
        <f t="shared" si="12"/>
        <v>201972152</v>
      </c>
      <c r="AH26">
        <v>9.9999999999999995E-7</v>
      </c>
      <c r="AI26">
        <f t="shared" si="5"/>
        <v>200.97082</v>
      </c>
      <c r="AJ26">
        <f t="shared" si="6"/>
        <v>201.97215199999999</v>
      </c>
      <c r="AK26">
        <v>1.007825</v>
      </c>
      <c r="AL26">
        <v>931.49</v>
      </c>
      <c r="AM26">
        <f t="shared" si="7"/>
        <v>6.0481645700056612</v>
      </c>
    </row>
    <row r="27" spans="1:39" x14ac:dyDescent="0.35">
      <c r="A27">
        <v>204</v>
      </c>
      <c r="B27">
        <v>7879.933</v>
      </c>
      <c r="C27">
        <v>1E-3</v>
      </c>
      <c r="D27">
        <f t="shared" si="0"/>
        <v>1607.5063319999999</v>
      </c>
      <c r="E27">
        <v>122</v>
      </c>
      <c r="F27">
        <v>203</v>
      </c>
      <c r="G27">
        <f t="shared" si="8"/>
        <v>1599.1122</v>
      </c>
      <c r="H27">
        <f t="shared" si="9"/>
        <v>8.3941319999998996</v>
      </c>
      <c r="J27">
        <v>122</v>
      </c>
      <c r="K27">
        <v>203973043.5</v>
      </c>
      <c r="L27">
        <v>9.9999999999999995E-7</v>
      </c>
      <c r="M27">
        <f t="shared" si="1"/>
        <v>203.97304349999999</v>
      </c>
      <c r="N27">
        <f t="shared" si="10"/>
        <v>202.97339099999999</v>
      </c>
      <c r="O27">
        <v>931.49</v>
      </c>
      <c r="P27">
        <v>1.0086649194999999</v>
      </c>
      <c r="Q27">
        <f t="shared" si="2"/>
        <v>8.3949786400643926</v>
      </c>
      <c r="T27">
        <v>203</v>
      </c>
      <c r="U27">
        <v>202</v>
      </c>
      <c r="V27">
        <v>7886.2209999999995</v>
      </c>
      <c r="W27">
        <v>1E-3</v>
      </c>
      <c r="X27">
        <f t="shared" si="3"/>
        <v>1593.016642</v>
      </c>
      <c r="Y27">
        <f t="shared" si="11"/>
        <v>1599.1122</v>
      </c>
      <c r="Z27">
        <f t="shared" si="4"/>
        <v>6.0955579999999827</v>
      </c>
      <c r="AF27">
        <v>201972108.90000001</v>
      </c>
      <c r="AG27">
        <f t="shared" si="12"/>
        <v>202973391</v>
      </c>
      <c r="AH27">
        <v>9.9999999999999995E-7</v>
      </c>
      <c r="AI27">
        <f t="shared" si="5"/>
        <v>201.97210889999999</v>
      </c>
      <c r="AJ27">
        <f t="shared" si="6"/>
        <v>202.97339099999999</v>
      </c>
      <c r="AK27">
        <v>1.007825</v>
      </c>
      <c r="AL27">
        <v>931.49</v>
      </c>
      <c r="AM27">
        <f t="shared" si="7"/>
        <v>6.0946459209994996</v>
      </c>
    </row>
    <row r="28" spans="1:39" x14ac:dyDescent="0.35">
      <c r="A28">
        <v>205</v>
      </c>
      <c r="B28">
        <v>7874.3310000000001</v>
      </c>
      <c r="C28">
        <v>1E-3</v>
      </c>
      <c r="D28">
        <f t="shared" si="0"/>
        <v>1614.2378550000001</v>
      </c>
      <c r="E28">
        <v>123</v>
      </c>
      <c r="F28">
        <v>204</v>
      </c>
      <c r="G28">
        <f t="shared" si="8"/>
        <v>1607.5063319999999</v>
      </c>
      <c r="H28">
        <f t="shared" si="9"/>
        <v>6.731523000000152</v>
      </c>
      <c r="J28">
        <v>123</v>
      </c>
      <c r="K28">
        <v>204974481.69999999</v>
      </c>
      <c r="L28">
        <v>9.9999999999999995E-7</v>
      </c>
      <c r="M28">
        <f t="shared" si="1"/>
        <v>204.97448169999998</v>
      </c>
      <c r="N28">
        <f t="shared" si="10"/>
        <v>203.97304349999999</v>
      </c>
      <c r="O28">
        <v>931.49</v>
      </c>
      <c r="P28">
        <v>1.0086649194999999</v>
      </c>
      <c r="Q28">
        <f t="shared" si="2"/>
        <v>6.731616947065115</v>
      </c>
      <c r="T28">
        <v>204</v>
      </c>
      <c r="U28">
        <v>203</v>
      </c>
      <c r="V28">
        <v>7886.0529999999999</v>
      </c>
      <c r="W28">
        <v>1E-3</v>
      </c>
      <c r="X28">
        <f t="shared" si="3"/>
        <v>1600.8687590000002</v>
      </c>
      <c r="Y28">
        <f t="shared" si="11"/>
        <v>1607.5063319999999</v>
      </c>
      <c r="Z28">
        <f t="shared" si="4"/>
        <v>6.6375729999997475</v>
      </c>
      <c r="AF28">
        <v>202972344.09999999</v>
      </c>
      <c r="AG28">
        <f t="shared" si="12"/>
        <v>203973043.5</v>
      </c>
      <c r="AH28">
        <v>9.9999999999999995E-7</v>
      </c>
      <c r="AI28">
        <f t="shared" si="5"/>
        <v>202.97234409999999</v>
      </c>
      <c r="AJ28">
        <f t="shared" si="6"/>
        <v>203.97304349999999</v>
      </c>
      <c r="AK28">
        <v>1.007825</v>
      </c>
      <c r="AL28">
        <v>931.49</v>
      </c>
      <c r="AM28">
        <f t="shared" si="7"/>
        <v>6.6374251439952001</v>
      </c>
    </row>
    <row r="29" spans="1:39" x14ac:dyDescent="0.35">
      <c r="A29">
        <v>206</v>
      </c>
      <c r="B29">
        <v>7875.3620000000001</v>
      </c>
      <c r="C29">
        <v>1E-3</v>
      </c>
      <c r="D29">
        <f t="shared" si="0"/>
        <v>1622.324572</v>
      </c>
      <c r="E29">
        <v>124</v>
      </c>
      <c r="F29">
        <v>205</v>
      </c>
      <c r="G29">
        <f t="shared" si="8"/>
        <v>1614.2378550000001</v>
      </c>
      <c r="H29">
        <f t="shared" si="9"/>
        <v>8.0867169999999078</v>
      </c>
      <c r="J29">
        <v>124</v>
      </c>
      <c r="K29">
        <v>205974465.19999999</v>
      </c>
      <c r="L29">
        <v>9.9999999999999995E-7</v>
      </c>
      <c r="M29">
        <f t="shared" si="1"/>
        <v>205.97446519999997</v>
      </c>
      <c r="N29">
        <f t="shared" si="10"/>
        <v>204.97448169999998</v>
      </c>
      <c r="O29">
        <v>931.49</v>
      </c>
      <c r="P29">
        <v>1.0086649194999999</v>
      </c>
      <c r="Q29">
        <f t="shared" si="2"/>
        <v>8.0866554500750709</v>
      </c>
      <c r="T29">
        <v>205</v>
      </c>
      <c r="U29">
        <v>204</v>
      </c>
      <c r="V29">
        <v>7880.0240000000003</v>
      </c>
      <c r="W29">
        <v>1E-3</v>
      </c>
      <c r="X29">
        <f t="shared" si="3"/>
        <v>1607.5248960000001</v>
      </c>
      <c r="Y29">
        <f t="shared" si="11"/>
        <v>1614.2378550000001</v>
      </c>
      <c r="Z29">
        <f t="shared" si="4"/>
        <v>6.7129589999999553</v>
      </c>
      <c r="AF29">
        <v>203973863.40000001</v>
      </c>
      <c r="AG29">
        <f t="shared" si="12"/>
        <v>204974481.69999999</v>
      </c>
      <c r="AH29">
        <v>9.9999999999999995E-7</v>
      </c>
      <c r="AI29">
        <f t="shared" si="5"/>
        <v>203.9738634</v>
      </c>
      <c r="AJ29">
        <f t="shared" si="6"/>
        <v>204.97448169999998</v>
      </c>
      <c r="AK29">
        <v>1.007825</v>
      </c>
      <c r="AL29">
        <v>931.49</v>
      </c>
      <c r="AM29">
        <f t="shared" si="7"/>
        <v>6.7129689830109722</v>
      </c>
    </row>
    <row r="30" spans="1:39" x14ac:dyDescent="0.35">
      <c r="A30">
        <v>207</v>
      </c>
      <c r="B30">
        <v>7869.866</v>
      </c>
      <c r="C30">
        <v>1E-3</v>
      </c>
      <c r="D30">
        <f t="shared" si="0"/>
        <v>1629.0622620000001</v>
      </c>
      <c r="E30">
        <v>125</v>
      </c>
      <c r="F30">
        <v>206</v>
      </c>
      <c r="G30">
        <f t="shared" si="8"/>
        <v>1622.324572</v>
      </c>
      <c r="H30">
        <f t="shared" si="9"/>
        <v>6.7376900000001569</v>
      </c>
      <c r="J30">
        <v>125</v>
      </c>
      <c r="K30">
        <v>206975896.80000001</v>
      </c>
      <c r="L30">
        <v>9.9999999999999995E-7</v>
      </c>
      <c r="M30">
        <f t="shared" si="1"/>
        <v>206.97589680000002</v>
      </c>
      <c r="N30">
        <f t="shared" si="10"/>
        <v>205.97446519999997</v>
      </c>
      <c r="O30">
        <v>931.49</v>
      </c>
      <c r="P30">
        <v>1.0086649194999999</v>
      </c>
      <c r="Q30">
        <f t="shared" si="2"/>
        <v>6.7377647810178232</v>
      </c>
      <c r="T30">
        <v>206</v>
      </c>
      <c r="U30">
        <v>205</v>
      </c>
      <c r="V30">
        <v>7878.3950000000004</v>
      </c>
      <c r="W30">
        <v>1E-3</v>
      </c>
      <c r="X30">
        <f t="shared" si="3"/>
        <v>1615.0709750000001</v>
      </c>
      <c r="Y30">
        <f t="shared" si="11"/>
        <v>1622.324572</v>
      </c>
      <c r="Z30">
        <f t="shared" si="4"/>
        <v>7.2535969999998997</v>
      </c>
      <c r="AF30">
        <v>204974427.30000001</v>
      </c>
      <c r="AG30">
        <f t="shared" si="12"/>
        <v>205974465.19999999</v>
      </c>
      <c r="AH30">
        <v>9.9999999999999995E-7</v>
      </c>
      <c r="AI30">
        <f t="shared" si="5"/>
        <v>204.9744273</v>
      </c>
      <c r="AJ30">
        <f t="shared" si="6"/>
        <v>205.97446519999997</v>
      </c>
      <c r="AK30">
        <v>1.007825</v>
      </c>
      <c r="AL30">
        <v>931.49</v>
      </c>
      <c r="AM30">
        <f t="shared" si="7"/>
        <v>7.253605779027966</v>
      </c>
    </row>
    <row r="31" spans="1:39" x14ac:dyDescent="0.35">
      <c r="A31">
        <v>208</v>
      </c>
      <c r="B31">
        <v>7867.4530000000004</v>
      </c>
      <c r="C31">
        <v>1E-3</v>
      </c>
      <c r="D31">
        <f t="shared" si="0"/>
        <v>1636.4302240000002</v>
      </c>
      <c r="E31">
        <v>126</v>
      </c>
      <c r="F31">
        <v>207</v>
      </c>
      <c r="G31">
        <f t="shared" si="8"/>
        <v>1629.0622620000001</v>
      </c>
      <c r="H31">
        <f t="shared" si="9"/>
        <v>7.3679620000000341</v>
      </c>
      <c r="J31">
        <v>126</v>
      </c>
      <c r="K31">
        <v>207976652</v>
      </c>
      <c r="L31">
        <v>9.9999999999999995E-7</v>
      </c>
      <c r="M31">
        <f t="shared" si="1"/>
        <v>207.976652</v>
      </c>
      <c r="N31">
        <f t="shared" si="10"/>
        <v>206.97589680000002</v>
      </c>
      <c r="O31">
        <v>931.49</v>
      </c>
      <c r="P31">
        <v>1.0086649194999999</v>
      </c>
      <c r="Q31">
        <f t="shared" si="2"/>
        <v>7.3678246170737918</v>
      </c>
      <c r="T31">
        <v>207</v>
      </c>
      <c r="U31">
        <v>206</v>
      </c>
      <c r="V31">
        <v>7871.7219999999998</v>
      </c>
      <c r="W31">
        <v>1E-3</v>
      </c>
      <c r="X31">
        <f t="shared" si="3"/>
        <v>1621.5747319999998</v>
      </c>
      <c r="Y31">
        <f t="shared" si="11"/>
        <v>1629.0622620000001</v>
      </c>
      <c r="Z31">
        <f t="shared" si="4"/>
        <v>7.4875300000003335</v>
      </c>
      <c r="AF31">
        <v>205976110.09999999</v>
      </c>
      <c r="AG31">
        <f t="shared" si="12"/>
        <v>206975896.80000001</v>
      </c>
      <c r="AH31">
        <v>9.9999999999999995E-7</v>
      </c>
      <c r="AI31">
        <f t="shared" si="5"/>
        <v>205.97611009999997</v>
      </c>
      <c r="AJ31">
        <f t="shared" si="6"/>
        <v>206.97589680000002</v>
      </c>
      <c r="AK31">
        <v>1.007825</v>
      </c>
      <c r="AL31">
        <v>931.49</v>
      </c>
      <c r="AM31">
        <f t="shared" si="7"/>
        <v>7.4875960669560984</v>
      </c>
    </row>
    <row r="32" spans="1:39" x14ac:dyDescent="0.35">
      <c r="A32">
        <v>209</v>
      </c>
      <c r="B32">
        <v>7848.6490000000003</v>
      </c>
      <c r="C32">
        <v>1E-3</v>
      </c>
      <c r="D32">
        <f t="shared" si="0"/>
        <v>1640.367641</v>
      </c>
      <c r="E32">
        <v>127</v>
      </c>
      <c r="F32">
        <v>208</v>
      </c>
      <c r="G32">
        <f t="shared" si="8"/>
        <v>1636.4302240000002</v>
      </c>
      <c r="H32">
        <f t="shared" si="9"/>
        <v>3.9374169999998685</v>
      </c>
      <c r="J32">
        <v>127</v>
      </c>
      <c r="K32">
        <v>208981090</v>
      </c>
      <c r="L32">
        <v>9.9999999999999995E-7</v>
      </c>
      <c r="M32">
        <f t="shared" si="1"/>
        <v>208.98108999999999</v>
      </c>
      <c r="N32">
        <f t="shared" si="10"/>
        <v>207.976652</v>
      </c>
      <c r="O32">
        <v>931.49</v>
      </c>
      <c r="P32">
        <v>1.0086649194999999</v>
      </c>
      <c r="Q32">
        <f t="shared" si="2"/>
        <v>3.9373332450671858</v>
      </c>
      <c r="T32">
        <v>208</v>
      </c>
      <c r="U32">
        <v>207</v>
      </c>
      <c r="V32">
        <v>7866.7979999999998</v>
      </c>
      <c r="W32">
        <v>1E-3</v>
      </c>
      <c r="X32">
        <f t="shared" si="3"/>
        <v>1628.4271860000001</v>
      </c>
      <c r="Y32">
        <f t="shared" si="11"/>
        <v>1636.4302240000002</v>
      </c>
      <c r="Z32">
        <f t="shared" si="4"/>
        <v>8.0030380000000605</v>
      </c>
      <c r="AF32">
        <v>206977419</v>
      </c>
      <c r="AG32">
        <f t="shared" si="12"/>
        <v>207976652</v>
      </c>
      <c r="AH32">
        <v>9.9999999999999995E-7</v>
      </c>
      <c r="AI32">
        <f t="shared" si="5"/>
        <v>206.977419</v>
      </c>
      <c r="AJ32">
        <f t="shared" si="6"/>
        <v>207.976652</v>
      </c>
      <c r="AK32">
        <v>1.007825</v>
      </c>
      <c r="AL32">
        <v>931.49</v>
      </c>
      <c r="AM32">
        <f t="shared" si="7"/>
        <v>8.0033620799935257</v>
      </c>
    </row>
    <row r="33" spans="1:39" x14ac:dyDescent="0.35">
      <c r="A33">
        <v>210</v>
      </c>
      <c r="B33">
        <v>7835.9660000000003</v>
      </c>
      <c r="C33">
        <v>1E-3</v>
      </c>
      <c r="D33">
        <f t="shared" si="0"/>
        <v>1645.5528600000002</v>
      </c>
      <c r="E33">
        <v>128</v>
      </c>
      <c r="F33">
        <v>209</v>
      </c>
      <c r="G33">
        <f t="shared" si="8"/>
        <v>1640.367641</v>
      </c>
      <c r="H33">
        <f t="shared" si="9"/>
        <v>5.1852190000001883</v>
      </c>
      <c r="J33">
        <v>128</v>
      </c>
      <c r="K33">
        <v>209984188.40000001</v>
      </c>
      <c r="L33">
        <v>9.9999999999999995E-7</v>
      </c>
      <c r="M33">
        <f t="shared" si="1"/>
        <v>209.98418839999999</v>
      </c>
      <c r="N33">
        <f t="shared" si="10"/>
        <v>208.98108999999999</v>
      </c>
      <c r="O33">
        <v>931.49</v>
      </c>
      <c r="P33">
        <v>1.0086649194999999</v>
      </c>
      <c r="Q33">
        <f t="shared" si="2"/>
        <v>5.1851572490619082</v>
      </c>
      <c r="T33">
        <v>209</v>
      </c>
      <c r="U33">
        <v>208</v>
      </c>
      <c r="V33">
        <v>7847.1840000000002</v>
      </c>
      <c r="W33">
        <v>1E-3</v>
      </c>
      <c r="X33">
        <f t="shared" si="3"/>
        <v>1632.2142720000002</v>
      </c>
      <c r="Y33">
        <f t="shared" si="11"/>
        <v>1640.367641</v>
      </c>
      <c r="Z33">
        <f t="shared" si="4"/>
        <v>8.1533689999998842</v>
      </c>
      <c r="AF33">
        <v>207982018</v>
      </c>
      <c r="AG33">
        <f t="shared" si="12"/>
        <v>208981090</v>
      </c>
      <c r="AH33">
        <v>9.9999999999999995E-7</v>
      </c>
      <c r="AI33">
        <f t="shared" si="5"/>
        <v>207.98201799999998</v>
      </c>
      <c r="AJ33">
        <f t="shared" si="6"/>
        <v>208.98108999999999</v>
      </c>
      <c r="AK33">
        <v>1.007825</v>
      </c>
      <c r="AL33">
        <v>931.49</v>
      </c>
      <c r="AM33">
        <f t="shared" si="7"/>
        <v>8.1533319699855316</v>
      </c>
    </row>
    <row r="34" spans="1:39" x14ac:dyDescent="0.35">
      <c r="A34">
        <v>211</v>
      </c>
      <c r="B34">
        <v>7817.0079999999998</v>
      </c>
      <c r="C34">
        <v>1E-3</v>
      </c>
      <c r="D34">
        <f t="shared" si="0"/>
        <v>1649.3886879999998</v>
      </c>
      <c r="E34">
        <v>129</v>
      </c>
      <c r="F34">
        <v>210</v>
      </c>
      <c r="G34">
        <f t="shared" si="8"/>
        <v>1645.5528600000002</v>
      </c>
      <c r="H34">
        <f t="shared" si="9"/>
        <v>3.8358279999995375</v>
      </c>
      <c r="J34">
        <v>129</v>
      </c>
      <c r="K34">
        <v>210988735.30000001</v>
      </c>
      <c r="L34">
        <v>9.9999999999999995E-7</v>
      </c>
      <c r="M34">
        <f t="shared" si="1"/>
        <v>210.9887353</v>
      </c>
      <c r="N34">
        <f t="shared" si="10"/>
        <v>209.98418839999999</v>
      </c>
      <c r="O34">
        <v>931.49</v>
      </c>
      <c r="P34">
        <v>1.0086649194999999</v>
      </c>
      <c r="Q34">
        <f t="shared" si="2"/>
        <v>3.8358939840532553</v>
      </c>
      <c r="T34">
        <v>210</v>
      </c>
      <c r="U34">
        <v>209</v>
      </c>
      <c r="V34">
        <v>7833.3980000000001</v>
      </c>
      <c r="W34">
        <v>1E-3</v>
      </c>
      <c r="X34">
        <f t="shared" si="3"/>
        <v>1637.1801820000001</v>
      </c>
      <c r="Y34">
        <f t="shared" si="11"/>
        <v>1645.5528600000002</v>
      </c>
      <c r="Z34">
        <f t="shared" si="4"/>
        <v>8.3726780000001781</v>
      </c>
      <c r="AF34">
        <v>208985352</v>
      </c>
      <c r="AG34">
        <f t="shared" si="12"/>
        <v>209984188.40000001</v>
      </c>
      <c r="AH34">
        <v>9.9999999999999995E-7</v>
      </c>
      <c r="AI34">
        <f t="shared" si="5"/>
        <v>208.98535199999998</v>
      </c>
      <c r="AJ34">
        <f t="shared" si="6"/>
        <v>209.98418839999999</v>
      </c>
      <c r="AK34">
        <v>1.007825</v>
      </c>
      <c r="AL34">
        <v>931.49</v>
      </c>
      <c r="AM34">
        <f t="shared" si="7"/>
        <v>8.3727910139821216</v>
      </c>
    </row>
    <row r="35" spans="1:39" x14ac:dyDescent="0.35">
      <c r="A35">
        <v>212</v>
      </c>
      <c r="B35">
        <v>7804.32</v>
      </c>
      <c r="C35">
        <v>1E-3</v>
      </c>
      <c r="D35">
        <f t="shared" si="0"/>
        <v>1654.5158399999998</v>
      </c>
      <c r="E35">
        <v>130</v>
      </c>
      <c r="F35">
        <v>211</v>
      </c>
      <c r="G35">
        <f t="shared" si="8"/>
        <v>1649.3886879999998</v>
      </c>
      <c r="H35">
        <f t="shared" si="9"/>
        <v>5.1271520000000237</v>
      </c>
      <c r="J35">
        <v>130</v>
      </c>
      <c r="K35">
        <v>211991895.90000001</v>
      </c>
      <c r="L35">
        <v>9.9999999999999995E-7</v>
      </c>
      <c r="M35">
        <f t="shared" si="1"/>
        <v>211.9918959</v>
      </c>
      <c r="N35">
        <f t="shared" si="10"/>
        <v>210.9887353</v>
      </c>
      <c r="O35">
        <v>931.49</v>
      </c>
      <c r="P35">
        <v>1.0086649194999999</v>
      </c>
      <c r="Q35">
        <f t="shared" si="2"/>
        <v>5.1272185710599318</v>
      </c>
      <c r="T35">
        <v>211</v>
      </c>
      <c r="U35">
        <v>210</v>
      </c>
      <c r="V35">
        <v>7813.59</v>
      </c>
      <c r="W35">
        <v>1E-3</v>
      </c>
      <c r="X35">
        <f t="shared" si="3"/>
        <v>1640.8539000000001</v>
      </c>
      <c r="Y35">
        <f t="shared" si="11"/>
        <v>1649.3886879999998</v>
      </c>
      <c r="Z35">
        <f t="shared" si="4"/>
        <v>8.5347879999997076</v>
      </c>
      <c r="AF35">
        <v>209990073</v>
      </c>
      <c r="AG35">
        <f t="shared" si="12"/>
        <v>210988735.30000001</v>
      </c>
      <c r="AH35">
        <v>9.9999999999999995E-7</v>
      </c>
      <c r="AI35">
        <f t="shared" si="5"/>
        <v>209.990073</v>
      </c>
      <c r="AJ35">
        <f t="shared" si="6"/>
        <v>210.9887353</v>
      </c>
      <c r="AK35">
        <v>1.007825</v>
      </c>
      <c r="AL35">
        <v>931.49</v>
      </c>
      <c r="AM35">
        <f t="shared" si="7"/>
        <v>8.5349634229909732</v>
      </c>
    </row>
    <row r="36" spans="1:39" x14ac:dyDescent="0.35">
      <c r="A36">
        <v>213</v>
      </c>
      <c r="B36">
        <v>7785.17</v>
      </c>
      <c r="C36">
        <v>1E-3</v>
      </c>
      <c r="D36">
        <f t="shared" si="0"/>
        <v>1658.2412099999999</v>
      </c>
      <c r="E36">
        <v>131</v>
      </c>
      <c r="F36">
        <v>212</v>
      </c>
      <c r="G36">
        <f t="shared" si="8"/>
        <v>1654.5158399999998</v>
      </c>
      <c r="H36">
        <f t="shared" si="9"/>
        <v>3.7253700000001118</v>
      </c>
      <c r="J36">
        <v>131</v>
      </c>
      <c r="K36">
        <v>212996561</v>
      </c>
      <c r="L36">
        <v>9.9999999999999995E-7</v>
      </c>
      <c r="M36">
        <f t="shared" si="1"/>
        <v>212.99656099999999</v>
      </c>
      <c r="N36">
        <f t="shared" si="10"/>
        <v>211.9918959</v>
      </c>
      <c r="O36">
        <v>931.49</v>
      </c>
      <c r="P36">
        <v>1.0086649194999999</v>
      </c>
      <c r="Q36">
        <f t="shared" si="2"/>
        <v>3.7257918660770808</v>
      </c>
      <c r="T36">
        <v>212</v>
      </c>
      <c r="U36">
        <v>211</v>
      </c>
      <c r="V36">
        <v>7799.79</v>
      </c>
      <c r="W36">
        <v>1E-3</v>
      </c>
      <c r="X36">
        <f t="shared" si="3"/>
        <v>1645.75569</v>
      </c>
      <c r="Y36">
        <f t="shared" si="11"/>
        <v>1654.5158399999998</v>
      </c>
      <c r="Z36">
        <f t="shared" si="4"/>
        <v>8.7601499999998396</v>
      </c>
      <c r="AF36">
        <v>210993480</v>
      </c>
      <c r="AG36">
        <f t="shared" si="12"/>
        <v>211991895.90000001</v>
      </c>
      <c r="AH36">
        <v>9.9999999999999995E-7</v>
      </c>
      <c r="AI36">
        <f t="shared" si="5"/>
        <v>210.99347999999998</v>
      </c>
      <c r="AJ36">
        <f t="shared" si="6"/>
        <v>211.9918959</v>
      </c>
      <c r="AK36">
        <v>1.007825</v>
      </c>
      <c r="AL36">
        <v>931.49</v>
      </c>
      <c r="AM36">
        <f t="shared" si="7"/>
        <v>8.7644825589727535</v>
      </c>
    </row>
    <row r="37" spans="1:39" x14ac:dyDescent="0.35">
      <c r="A37">
        <v>214</v>
      </c>
      <c r="B37">
        <v>7772.3950000000004</v>
      </c>
      <c r="C37">
        <v>1E-3</v>
      </c>
      <c r="D37">
        <f t="shared" si="0"/>
        <v>1663.2925300000002</v>
      </c>
      <c r="E37">
        <v>132</v>
      </c>
      <c r="F37">
        <v>213</v>
      </c>
      <c r="G37">
        <f t="shared" si="8"/>
        <v>1658.2412099999999</v>
      </c>
      <c r="H37">
        <f t="shared" si="9"/>
        <v>5.0513200000002598</v>
      </c>
      <c r="J37">
        <v>132</v>
      </c>
      <c r="K37">
        <v>213999803.5</v>
      </c>
      <c r="L37">
        <v>9.9999999999999995E-7</v>
      </c>
      <c r="M37">
        <f t="shared" si="1"/>
        <v>213.99980349999998</v>
      </c>
      <c r="N37">
        <f t="shared" si="10"/>
        <v>212.99656099999999</v>
      </c>
      <c r="O37">
        <v>931.49</v>
      </c>
      <c r="P37">
        <v>1.0086649194999999</v>
      </c>
      <c r="Q37">
        <f t="shared" si="2"/>
        <v>5.0509295400619267</v>
      </c>
      <c r="T37">
        <v>213</v>
      </c>
      <c r="U37">
        <v>212</v>
      </c>
      <c r="V37">
        <v>7780</v>
      </c>
      <c r="W37">
        <v>1E-3</v>
      </c>
      <c r="X37">
        <f t="shared" si="3"/>
        <v>1649.3600000000001</v>
      </c>
      <c r="Y37">
        <f t="shared" si="11"/>
        <v>1658.2412099999999</v>
      </c>
      <c r="Z37">
        <f t="shared" si="4"/>
        <v>8.8812099999997827</v>
      </c>
      <c r="AF37">
        <v>211998340</v>
      </c>
      <c r="AG37">
        <f t="shared" si="12"/>
        <v>212996561</v>
      </c>
      <c r="AH37">
        <v>9.9999999999999995E-7</v>
      </c>
      <c r="AI37">
        <f t="shared" si="5"/>
        <v>211.99833999999998</v>
      </c>
      <c r="AJ37">
        <f t="shared" si="6"/>
        <v>212.99656099999999</v>
      </c>
      <c r="AK37">
        <v>1.007825</v>
      </c>
      <c r="AL37">
        <v>931.49</v>
      </c>
      <c r="AM37">
        <f t="shared" si="7"/>
        <v>8.9460299599962259</v>
      </c>
    </row>
    <row r="38" spans="1:39" x14ac:dyDescent="0.35">
      <c r="A38">
        <v>215</v>
      </c>
      <c r="B38">
        <v>7752.74</v>
      </c>
      <c r="C38">
        <v>1E-3</v>
      </c>
      <c r="D38">
        <f t="shared" si="0"/>
        <v>1666.8390999999999</v>
      </c>
      <c r="E38">
        <v>133</v>
      </c>
      <c r="F38">
        <v>214</v>
      </c>
      <c r="G38">
        <f t="shared" si="8"/>
        <v>1663.2925300000002</v>
      </c>
      <c r="H38">
        <f t="shared" si="9"/>
        <v>3.5465699999997469</v>
      </c>
      <c r="J38">
        <v>133</v>
      </c>
      <c r="K38">
        <v>215004660</v>
      </c>
      <c r="L38">
        <v>9.9999999999999995E-7</v>
      </c>
      <c r="M38">
        <f t="shared" si="1"/>
        <v>215.00466</v>
      </c>
      <c r="N38">
        <f t="shared" si="10"/>
        <v>213.99980349999998</v>
      </c>
      <c r="O38">
        <v>931.49</v>
      </c>
      <c r="P38">
        <v>1.0086649194999999</v>
      </c>
      <c r="Q38">
        <f t="shared" si="2"/>
        <v>3.547504680045376</v>
      </c>
      <c r="T38">
        <v>214</v>
      </c>
      <c r="U38">
        <v>213</v>
      </c>
      <c r="V38">
        <v>7765.43</v>
      </c>
      <c r="W38">
        <v>1E-3</v>
      </c>
      <c r="X38">
        <f t="shared" si="3"/>
        <v>1654.0365900000002</v>
      </c>
      <c r="Y38">
        <f t="shared" si="11"/>
        <v>1663.2925300000002</v>
      </c>
      <c r="Z38">
        <f t="shared" si="4"/>
        <v>9.2559400000000096</v>
      </c>
      <c r="AF38">
        <v>213001915</v>
      </c>
      <c r="AG38">
        <f t="shared" si="12"/>
        <v>213999803.5</v>
      </c>
      <c r="AH38">
        <v>9.9999999999999995E-7</v>
      </c>
      <c r="AI38">
        <f t="shared" si="5"/>
        <v>213.001915</v>
      </c>
      <c r="AJ38">
        <f t="shared" si="6"/>
        <v>213.99980349999998</v>
      </c>
      <c r="AK38">
        <v>1.007825</v>
      </c>
      <c r="AL38">
        <v>931.49</v>
      </c>
      <c r="AM38">
        <f t="shared" si="7"/>
        <v>9.2557503850084935</v>
      </c>
    </row>
    <row r="39" spans="1:39" x14ac:dyDescent="0.35">
      <c r="A39">
        <v>216</v>
      </c>
      <c r="B39">
        <v>7740</v>
      </c>
      <c r="C39">
        <v>1E-3</v>
      </c>
      <c r="D39">
        <f t="shared" si="0"/>
        <v>1671.8400000000001</v>
      </c>
      <c r="E39">
        <v>134</v>
      </c>
      <c r="F39">
        <v>215</v>
      </c>
      <c r="G39">
        <f t="shared" si="8"/>
        <v>1666.8390999999999</v>
      </c>
      <c r="H39">
        <f t="shared" si="9"/>
        <v>5.0009000000002288</v>
      </c>
      <c r="J39">
        <v>134</v>
      </c>
      <c r="K39">
        <v>216008060</v>
      </c>
      <c r="L39">
        <v>9.9999999999999995E-7</v>
      </c>
      <c r="M39">
        <f t="shared" si="1"/>
        <v>216.00806</v>
      </c>
      <c r="N39">
        <f t="shared" si="10"/>
        <v>215.00466</v>
      </c>
      <c r="O39">
        <v>931.49</v>
      </c>
      <c r="P39">
        <v>1.0086649194999999</v>
      </c>
      <c r="Q39">
        <f t="shared" si="2"/>
        <v>4.9042198650616893</v>
      </c>
      <c r="T39">
        <v>215</v>
      </c>
      <c r="U39">
        <v>214</v>
      </c>
      <c r="V39">
        <v>7745</v>
      </c>
      <c r="W39">
        <v>1E-3</v>
      </c>
      <c r="X39">
        <f t="shared" si="3"/>
        <v>1657.43</v>
      </c>
      <c r="Y39">
        <f t="shared" si="11"/>
        <v>1666.8390999999999</v>
      </c>
      <c r="Z39">
        <f t="shared" si="4"/>
        <v>9.409099999999853</v>
      </c>
      <c r="AF39">
        <v>214006940</v>
      </c>
      <c r="AG39">
        <f t="shared" si="12"/>
        <v>215004660</v>
      </c>
      <c r="AH39">
        <v>9.9999999999999995E-7</v>
      </c>
      <c r="AI39">
        <f t="shared" si="5"/>
        <v>214.00693999999999</v>
      </c>
      <c r="AJ39">
        <f t="shared" si="6"/>
        <v>215.00466</v>
      </c>
      <c r="AK39">
        <v>1.007825</v>
      </c>
      <c r="AL39">
        <v>931.49</v>
      </c>
      <c r="AM39">
        <f t="shared" si="7"/>
        <v>9.4127064499828617</v>
      </c>
    </row>
    <row r="40" spans="1:39" x14ac:dyDescent="0.35">
      <c r="A40">
        <v>217</v>
      </c>
      <c r="B40">
        <v>7719</v>
      </c>
      <c r="C40">
        <v>1E-3</v>
      </c>
      <c r="D40">
        <f t="shared" si="0"/>
        <v>1675.0230000000001</v>
      </c>
      <c r="E40">
        <v>135</v>
      </c>
      <c r="F40">
        <v>216</v>
      </c>
      <c r="G40">
        <f t="shared" si="8"/>
        <v>1671.8400000000001</v>
      </c>
      <c r="H40">
        <f t="shared" si="9"/>
        <v>3.1829999999999927</v>
      </c>
      <c r="J40">
        <v>135</v>
      </c>
      <c r="K40">
        <v>217013160</v>
      </c>
      <c r="L40">
        <v>9.9999999999999995E-7</v>
      </c>
      <c r="M40">
        <f t="shared" si="1"/>
        <v>217.01316</v>
      </c>
      <c r="N40">
        <f t="shared" si="10"/>
        <v>216.00806</v>
      </c>
      <c r="O40">
        <v>931.49</v>
      </c>
      <c r="P40">
        <v>1.0086649194999999</v>
      </c>
      <c r="Q40">
        <f t="shared" si="2"/>
        <v>3.3206868650620707</v>
      </c>
      <c r="T40">
        <v>216</v>
      </c>
      <c r="U40">
        <v>215</v>
      </c>
      <c r="V40">
        <v>7730</v>
      </c>
      <c r="W40">
        <v>1E-3</v>
      </c>
      <c r="X40">
        <f t="shared" si="3"/>
        <v>1661.95</v>
      </c>
      <c r="Y40">
        <f t="shared" si="11"/>
        <v>1671.8400000000001</v>
      </c>
      <c r="Z40">
        <f t="shared" si="4"/>
        <v>9.8900000000001</v>
      </c>
      <c r="AF40">
        <v>215010770</v>
      </c>
      <c r="AG40">
        <f t="shared" si="12"/>
        <v>216008060</v>
      </c>
      <c r="AH40">
        <v>9.9999999999999995E-7</v>
      </c>
      <c r="AI40">
        <f t="shared" si="5"/>
        <v>215.01076999999998</v>
      </c>
      <c r="AJ40">
        <f t="shared" si="6"/>
        <v>216.00806</v>
      </c>
      <c r="AK40">
        <v>1.007825</v>
      </c>
      <c r="AL40">
        <v>931.49</v>
      </c>
      <c r="AM40">
        <f t="shared" si="7"/>
        <v>9.8132471499776255</v>
      </c>
    </row>
    <row r="41" spans="1:39" x14ac:dyDescent="0.35">
      <c r="A41">
        <v>218</v>
      </c>
      <c r="B41">
        <v>7705</v>
      </c>
      <c r="C41">
        <v>1E-3</v>
      </c>
      <c r="D41">
        <f t="shared" si="0"/>
        <v>1679.69</v>
      </c>
      <c r="E41">
        <v>136</v>
      </c>
      <c r="F41">
        <v>217</v>
      </c>
      <c r="G41">
        <f t="shared" si="8"/>
        <v>1675.0230000000001</v>
      </c>
      <c r="H41">
        <f t="shared" si="9"/>
        <v>4.6669999999999163</v>
      </c>
      <c r="J41">
        <v>136</v>
      </c>
      <c r="K41">
        <v>218016780</v>
      </c>
      <c r="L41">
        <v>9.9999999999999995E-7</v>
      </c>
      <c r="M41">
        <f t="shared" si="1"/>
        <v>218.01677999999998</v>
      </c>
      <c r="N41">
        <f t="shared" si="10"/>
        <v>217.01316</v>
      </c>
      <c r="O41">
        <v>931.49</v>
      </c>
      <c r="P41">
        <v>1.0086649194999999</v>
      </c>
      <c r="Q41">
        <f t="shared" si="2"/>
        <v>4.6992920650760661</v>
      </c>
      <c r="T41">
        <v>217</v>
      </c>
      <c r="U41">
        <v>216</v>
      </c>
      <c r="V41">
        <v>7709</v>
      </c>
      <c r="W41">
        <v>1E-3</v>
      </c>
      <c r="X41">
        <f t="shared" si="3"/>
        <v>1665.144</v>
      </c>
      <c r="Y41">
        <f t="shared" si="11"/>
        <v>1675.0230000000001</v>
      </c>
      <c r="Z41">
        <f t="shared" si="4"/>
        <v>9.8790000000001328</v>
      </c>
      <c r="AF41">
        <v>216015960</v>
      </c>
      <c r="AG41">
        <f t="shared" si="12"/>
        <v>217013160</v>
      </c>
      <c r="AH41">
        <v>9.9999999999999995E-7</v>
      </c>
      <c r="AI41">
        <f t="shared" si="5"/>
        <v>216.01595999999998</v>
      </c>
      <c r="AJ41">
        <f t="shared" si="6"/>
        <v>217.01316</v>
      </c>
      <c r="AK41">
        <v>1.007825</v>
      </c>
      <c r="AL41">
        <v>931.49</v>
      </c>
      <c r="AM41">
        <f t="shared" si="7"/>
        <v>9.8970812499777612</v>
      </c>
    </row>
    <row r="42" spans="1:39" x14ac:dyDescent="0.35">
      <c r="A42">
        <v>219</v>
      </c>
      <c r="B42">
        <v>7684</v>
      </c>
      <c r="C42">
        <v>1E-3</v>
      </c>
      <c r="D42">
        <f t="shared" si="0"/>
        <v>1682.796</v>
      </c>
      <c r="E42">
        <v>137</v>
      </c>
      <c r="F42">
        <v>218</v>
      </c>
      <c r="G42">
        <f t="shared" si="8"/>
        <v>1679.69</v>
      </c>
      <c r="H42">
        <f t="shared" si="9"/>
        <v>3.1059999999999945</v>
      </c>
      <c r="J42">
        <v>137</v>
      </c>
      <c r="K42">
        <v>219022140</v>
      </c>
      <c r="L42">
        <v>9.9999999999999995E-7</v>
      </c>
      <c r="M42">
        <f t="shared" si="1"/>
        <v>219.02213999999998</v>
      </c>
      <c r="N42">
        <f t="shared" si="10"/>
        <v>218.01677999999998</v>
      </c>
      <c r="O42">
        <v>931.49</v>
      </c>
      <c r="P42">
        <v>1.0086649194999999</v>
      </c>
      <c r="Q42">
        <f t="shared" si="2"/>
        <v>3.0784994650646205</v>
      </c>
      <c r="T42">
        <v>218</v>
      </c>
      <c r="U42">
        <v>217</v>
      </c>
      <c r="V42">
        <v>7693</v>
      </c>
      <c r="W42">
        <v>1E-3</v>
      </c>
      <c r="X42">
        <f t="shared" si="3"/>
        <v>1669.3810000000001</v>
      </c>
      <c r="Y42">
        <f t="shared" si="11"/>
        <v>1679.69</v>
      </c>
      <c r="Z42">
        <f t="shared" si="4"/>
        <v>10.308999999999969</v>
      </c>
      <c r="AF42">
        <v>217020030</v>
      </c>
      <c r="AG42">
        <f t="shared" si="12"/>
        <v>218016780</v>
      </c>
      <c r="AH42">
        <v>9.9999999999999995E-7</v>
      </c>
      <c r="AI42">
        <f t="shared" si="5"/>
        <v>217.02002999999999</v>
      </c>
      <c r="AJ42">
        <f t="shared" si="6"/>
        <v>218.01677999999998</v>
      </c>
      <c r="AK42">
        <v>1.007825</v>
      </c>
      <c r="AL42">
        <v>931.49</v>
      </c>
      <c r="AM42">
        <f t="shared" si="7"/>
        <v>10.316251750004914</v>
      </c>
    </row>
    <row r="43" spans="1:39" x14ac:dyDescent="0.35">
      <c r="A43">
        <v>220</v>
      </c>
      <c r="B43">
        <v>7670</v>
      </c>
      <c r="C43">
        <v>1E-3</v>
      </c>
      <c r="D43">
        <f t="shared" si="0"/>
        <v>1687.4</v>
      </c>
      <c r="E43">
        <v>138</v>
      </c>
      <c r="F43">
        <v>219</v>
      </c>
      <c r="G43">
        <f t="shared" si="8"/>
        <v>1682.796</v>
      </c>
      <c r="H43">
        <f t="shared" si="9"/>
        <v>4.6040000000000418</v>
      </c>
      <c r="J43">
        <v>138</v>
      </c>
      <c r="K43">
        <v>220025910</v>
      </c>
      <c r="L43">
        <v>9.9999999999999995E-7</v>
      </c>
      <c r="M43">
        <f t="shared" si="1"/>
        <v>220.02590999999998</v>
      </c>
      <c r="N43">
        <f t="shared" si="10"/>
        <v>219.02213999999998</v>
      </c>
      <c r="O43">
        <v>931.49</v>
      </c>
      <c r="P43">
        <v>1.0086649194999999</v>
      </c>
      <c r="Q43">
        <f t="shared" si="2"/>
        <v>4.5595685650581901</v>
      </c>
      <c r="T43">
        <v>219</v>
      </c>
      <c r="U43">
        <v>218</v>
      </c>
      <c r="V43">
        <v>7672</v>
      </c>
      <c r="W43">
        <v>1E-3</v>
      </c>
      <c r="X43">
        <f t="shared" si="3"/>
        <v>1672.4960000000001</v>
      </c>
      <c r="Y43">
        <f t="shared" si="11"/>
        <v>1682.796</v>
      </c>
      <c r="Z43">
        <f t="shared" si="4"/>
        <v>10.299999999999955</v>
      </c>
      <c r="AF43">
        <v>218025450</v>
      </c>
      <c r="AG43">
        <f t="shared" si="12"/>
        <v>219022140</v>
      </c>
      <c r="AH43">
        <v>9.9999999999999995E-7</v>
      </c>
      <c r="AI43">
        <f t="shared" si="5"/>
        <v>218.02544999999998</v>
      </c>
      <c r="AJ43">
        <f t="shared" si="6"/>
        <v>219.02213999999998</v>
      </c>
      <c r="AK43">
        <v>1.007825</v>
      </c>
      <c r="AL43">
        <v>931.49</v>
      </c>
      <c r="AM43">
        <f t="shared" si="7"/>
        <v>10.37214114999618</v>
      </c>
    </row>
    <row r="50" spans="1:1" x14ac:dyDescent="0.35">
      <c r="A50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397A-4F4E-4AA0-9DE7-0F38EB68A0B1}">
  <dimension ref="A1:L9"/>
  <sheetViews>
    <sheetView workbookViewId="0">
      <selection activeCell="I7" sqref="I7"/>
    </sheetView>
  </sheetViews>
  <sheetFormatPr defaultRowHeight="14.5" x14ac:dyDescent="0.35"/>
  <cols>
    <col min="1" max="1" width="10.36328125" customWidth="1"/>
    <col min="2" max="2" width="10.7265625" customWidth="1"/>
    <col min="3" max="4" width="13" customWidth="1"/>
    <col min="5" max="5" width="16.36328125" customWidth="1"/>
    <col min="6" max="6" width="19.26953125" customWidth="1"/>
    <col min="7" max="7" width="14.08984375" customWidth="1"/>
    <col min="9" max="9" width="18" customWidth="1"/>
  </cols>
  <sheetData>
    <row r="1" spans="1:12" x14ac:dyDescent="0.35">
      <c r="A1" t="s">
        <v>56</v>
      </c>
      <c r="B1" t="s">
        <v>54</v>
      </c>
      <c r="C1" t="s">
        <v>55</v>
      </c>
      <c r="D1" t="s">
        <v>60</v>
      </c>
      <c r="E1" t="s">
        <v>57</v>
      </c>
      <c r="F1" t="s">
        <v>59</v>
      </c>
      <c r="G1" t="s">
        <v>63</v>
      </c>
      <c r="H1" t="s">
        <v>42</v>
      </c>
      <c r="I1" t="s">
        <v>68</v>
      </c>
      <c r="J1" t="s">
        <v>61</v>
      </c>
      <c r="K1" t="s">
        <v>62</v>
      </c>
      <c r="L1" t="s">
        <v>53</v>
      </c>
    </row>
    <row r="2" spans="1:12" x14ac:dyDescent="0.35">
      <c r="A2">
        <v>170</v>
      </c>
      <c r="B2">
        <v>76</v>
      </c>
      <c r="C2" t="s">
        <v>58</v>
      </c>
      <c r="D2">
        <v>7921.13</v>
      </c>
      <c r="E2">
        <f>D2*A2*H2</f>
        <v>1346.5921000000001</v>
      </c>
      <c r="F2">
        <v>7974.9</v>
      </c>
      <c r="G2">
        <f>F2*H2*I2</f>
        <v>1323.8334</v>
      </c>
      <c r="H2">
        <v>1E-3</v>
      </c>
      <c r="I2">
        <v>166</v>
      </c>
      <c r="J2">
        <v>74</v>
      </c>
      <c r="K2">
        <v>28.295663999999999</v>
      </c>
      <c r="L2">
        <f>(K2+G2)-E2</f>
        <v>5.5369639999998981</v>
      </c>
    </row>
    <row r="3" spans="1:12" x14ac:dyDescent="0.35">
      <c r="A3">
        <v>172</v>
      </c>
      <c r="B3">
        <v>76</v>
      </c>
      <c r="C3" t="s">
        <v>58</v>
      </c>
      <c r="D3">
        <v>7942.16</v>
      </c>
      <c r="E3">
        <f t="shared" ref="E3:E5" si="0">D3*A3*H3</f>
        <v>1366.05152</v>
      </c>
      <c r="F3">
        <v>7993.93</v>
      </c>
      <c r="G3">
        <f t="shared" ref="G3:G5" si="1">F3*H3*I3</f>
        <v>1342.9802400000001</v>
      </c>
      <c r="H3">
        <v>1E-3</v>
      </c>
      <c r="I3">
        <v>168</v>
      </c>
      <c r="J3">
        <v>74</v>
      </c>
      <c r="K3">
        <v>28.295663999999999</v>
      </c>
      <c r="L3">
        <f>(K3+G3)-E3</f>
        <v>5.2243840000001001</v>
      </c>
    </row>
    <row r="4" spans="1:12" x14ac:dyDescent="0.35">
      <c r="A4">
        <v>174</v>
      </c>
      <c r="B4">
        <v>76</v>
      </c>
      <c r="C4" t="s">
        <v>58</v>
      </c>
      <c r="D4">
        <v>7959.46</v>
      </c>
      <c r="E4">
        <f t="shared" si="0"/>
        <v>1384.94604</v>
      </c>
      <c r="F4">
        <v>8008.95</v>
      </c>
      <c r="G4">
        <f t="shared" si="1"/>
        <v>1361.5215000000001</v>
      </c>
      <c r="H4">
        <v>1E-3</v>
      </c>
      <c r="I4">
        <v>170</v>
      </c>
      <c r="J4">
        <v>74</v>
      </c>
      <c r="K4">
        <v>28.295663999999999</v>
      </c>
      <c r="L4">
        <f t="shared" ref="L4:L5" si="2">(K4+G4)-E4</f>
        <v>4.8711240000000089</v>
      </c>
    </row>
    <row r="5" spans="1:12" x14ac:dyDescent="0.35">
      <c r="A5">
        <v>176</v>
      </c>
      <c r="B5">
        <v>76</v>
      </c>
      <c r="C5" t="s">
        <v>58</v>
      </c>
      <c r="D5">
        <v>7972.87</v>
      </c>
      <c r="E5">
        <f t="shared" si="0"/>
        <v>1403.2251199999998</v>
      </c>
      <c r="F5">
        <v>8020.18</v>
      </c>
      <c r="G5">
        <f t="shared" si="1"/>
        <v>1379.4709599999999</v>
      </c>
      <c r="H5">
        <v>1E-3</v>
      </c>
      <c r="I5">
        <v>172</v>
      </c>
      <c r="J5">
        <v>74</v>
      </c>
      <c r="K5">
        <v>28.295663999999999</v>
      </c>
      <c r="L5">
        <f t="shared" si="2"/>
        <v>4.5415040000000317</v>
      </c>
    </row>
    <row r="9" spans="1:12" x14ac:dyDescent="0.35">
      <c r="D9" t="s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1711-7820-4205-AB97-7181A88CB9C4}">
  <dimension ref="A1:L8"/>
  <sheetViews>
    <sheetView workbookViewId="0">
      <selection activeCell="L2" sqref="L2"/>
    </sheetView>
  </sheetViews>
  <sheetFormatPr defaultRowHeight="14.5" x14ac:dyDescent="0.35"/>
  <cols>
    <col min="1" max="1" width="11.26953125" customWidth="1"/>
    <col min="2" max="2" width="10.08984375" customWidth="1"/>
    <col min="3" max="3" width="8.54296875" customWidth="1"/>
    <col min="4" max="4" width="14.36328125" customWidth="1"/>
    <col min="5" max="5" width="13.26953125" customWidth="1"/>
    <col min="6" max="6" width="16.54296875" customWidth="1"/>
    <col min="7" max="7" width="14.453125" customWidth="1"/>
    <col min="9" max="9" width="18.81640625" customWidth="1"/>
    <col min="12" max="12" width="9.6328125" customWidth="1"/>
  </cols>
  <sheetData>
    <row r="1" spans="1:12" x14ac:dyDescent="0.35">
      <c r="A1" t="s">
        <v>56</v>
      </c>
      <c r="B1" t="s">
        <v>54</v>
      </c>
      <c r="C1" t="s">
        <v>55</v>
      </c>
      <c r="D1" t="s">
        <v>60</v>
      </c>
      <c r="E1" t="s">
        <v>57</v>
      </c>
      <c r="F1" t="s">
        <v>59</v>
      </c>
      <c r="G1" t="s">
        <v>63</v>
      </c>
      <c r="H1" t="s">
        <v>42</v>
      </c>
      <c r="I1" t="s">
        <v>67</v>
      </c>
      <c r="J1" t="s">
        <v>64</v>
      </c>
      <c r="K1" t="s">
        <v>65</v>
      </c>
      <c r="L1" t="s">
        <v>53</v>
      </c>
    </row>
    <row r="2" spans="1:12" x14ac:dyDescent="0.35">
      <c r="A2">
        <v>167</v>
      </c>
      <c r="B2">
        <v>77</v>
      </c>
      <c r="C2" t="s">
        <v>66</v>
      </c>
      <c r="D2">
        <v>7812.83</v>
      </c>
      <c r="E2">
        <f>A2*D2*H2</f>
        <v>1304.7426100000002</v>
      </c>
      <c r="F2">
        <v>7870.87</v>
      </c>
      <c r="G2">
        <f>F2*H2*I2</f>
        <v>1282.95181</v>
      </c>
      <c r="H2">
        <v>1E-3</v>
      </c>
      <c r="I2">
        <v>163</v>
      </c>
      <c r="J2">
        <v>75</v>
      </c>
      <c r="K2">
        <v>28.295660000000002</v>
      </c>
      <c r="L2">
        <f>(K2+G2)-E2</f>
        <v>6.5048599999997805</v>
      </c>
    </row>
    <row r="3" spans="1:12" x14ac:dyDescent="0.35">
      <c r="A3">
        <f t="shared" ref="A3:A8" si="0">A2+2</f>
        <v>169</v>
      </c>
      <c r="B3">
        <v>77</v>
      </c>
      <c r="C3" t="s">
        <v>66</v>
      </c>
      <c r="D3">
        <v>7845.59</v>
      </c>
      <c r="E3">
        <f t="shared" ref="E3:E8" si="1">A3*D3*H3</f>
        <v>1325.90471</v>
      </c>
      <c r="F3">
        <v>7901.52</v>
      </c>
      <c r="G3">
        <f t="shared" ref="G3:G8" si="2">F3*H3*I3</f>
        <v>1303.7508</v>
      </c>
      <c r="H3">
        <v>1E-3</v>
      </c>
      <c r="I3">
        <f>I2+2</f>
        <v>165</v>
      </c>
      <c r="J3">
        <v>75</v>
      </c>
      <c r="K3">
        <v>28.295660000000002</v>
      </c>
      <c r="L3">
        <f t="shared" ref="L3:L8" si="3">(K3+G3)-E3</f>
        <v>6.1417500000000018</v>
      </c>
    </row>
    <row r="4" spans="1:12" x14ac:dyDescent="0.35">
      <c r="A4">
        <f t="shared" si="0"/>
        <v>171</v>
      </c>
      <c r="B4">
        <v>77</v>
      </c>
      <c r="C4" t="s">
        <v>66</v>
      </c>
      <c r="D4">
        <v>7873.49</v>
      </c>
      <c r="E4">
        <f t="shared" si="1"/>
        <v>1346.36679</v>
      </c>
      <c r="F4">
        <v>7929</v>
      </c>
      <c r="G4">
        <f t="shared" si="2"/>
        <v>1324.143</v>
      </c>
      <c r="H4">
        <v>1E-3</v>
      </c>
      <c r="I4">
        <f t="shared" ref="I4:I8" si="4">I3+2</f>
        <v>167</v>
      </c>
      <c r="J4">
        <v>75</v>
      </c>
      <c r="K4">
        <v>28.295660000000002</v>
      </c>
      <c r="L4">
        <f t="shared" si="3"/>
        <v>6.0718699999999899</v>
      </c>
    </row>
    <row r="5" spans="1:12" x14ac:dyDescent="0.35">
      <c r="A5">
        <f t="shared" si="0"/>
        <v>173</v>
      </c>
      <c r="B5">
        <v>77</v>
      </c>
      <c r="C5" t="s">
        <v>66</v>
      </c>
      <c r="D5">
        <v>7898.07</v>
      </c>
      <c r="E5">
        <f t="shared" si="1"/>
        <v>1366.3661099999999</v>
      </c>
      <c r="F5">
        <v>7951.4</v>
      </c>
      <c r="G5">
        <f t="shared" si="2"/>
        <v>1343.7865999999999</v>
      </c>
      <c r="H5">
        <v>1E-3</v>
      </c>
      <c r="I5">
        <f t="shared" si="4"/>
        <v>169</v>
      </c>
      <c r="J5">
        <v>75</v>
      </c>
      <c r="K5">
        <v>28.295660000000002</v>
      </c>
      <c r="L5">
        <f t="shared" si="3"/>
        <v>5.7161499999999705</v>
      </c>
    </row>
    <row r="6" spans="1:12" x14ac:dyDescent="0.35">
      <c r="A6">
        <f t="shared" si="0"/>
        <v>175</v>
      </c>
      <c r="B6">
        <v>77</v>
      </c>
      <c r="C6" t="s">
        <v>66</v>
      </c>
      <c r="D6">
        <v>7917.91</v>
      </c>
      <c r="E6">
        <f t="shared" si="1"/>
        <v>1385.6342500000001</v>
      </c>
      <c r="F6">
        <v>7969.41</v>
      </c>
      <c r="G6">
        <f t="shared" si="2"/>
        <v>1362.76911</v>
      </c>
      <c r="H6">
        <v>1E-3</v>
      </c>
      <c r="I6">
        <f t="shared" si="4"/>
        <v>171</v>
      </c>
      <c r="J6">
        <v>75</v>
      </c>
      <c r="K6">
        <v>28.295660000000002</v>
      </c>
      <c r="L6">
        <f t="shared" si="3"/>
        <v>5.4305199999998877</v>
      </c>
    </row>
    <row r="7" spans="1:12" x14ac:dyDescent="0.35">
      <c r="A7">
        <f t="shared" si="0"/>
        <v>177</v>
      </c>
      <c r="B7">
        <v>77</v>
      </c>
      <c r="C7" t="s">
        <v>66</v>
      </c>
      <c r="D7">
        <v>7934.63</v>
      </c>
      <c r="E7">
        <f t="shared" si="1"/>
        <v>1404.4295099999999</v>
      </c>
      <c r="F7">
        <v>7983.91</v>
      </c>
      <c r="G7">
        <f t="shared" si="2"/>
        <v>1381.2164299999999</v>
      </c>
      <c r="H7">
        <v>1E-3</v>
      </c>
      <c r="I7">
        <f t="shared" si="4"/>
        <v>173</v>
      </c>
      <c r="J7">
        <v>75</v>
      </c>
      <c r="K7">
        <v>28.295660000000002</v>
      </c>
      <c r="L7">
        <f t="shared" si="3"/>
        <v>5.0825800000000072</v>
      </c>
    </row>
    <row r="8" spans="1:12" x14ac:dyDescent="0.35">
      <c r="A8">
        <f t="shared" si="0"/>
        <v>179</v>
      </c>
      <c r="B8">
        <v>77</v>
      </c>
      <c r="C8" t="s">
        <v>66</v>
      </c>
      <c r="D8">
        <v>7947.52</v>
      </c>
      <c r="E8">
        <f t="shared" si="1"/>
        <v>1422.60608</v>
      </c>
      <c r="F8">
        <v>7994.82</v>
      </c>
      <c r="G8">
        <f t="shared" si="2"/>
        <v>1399.0934999999999</v>
      </c>
      <c r="H8">
        <v>1E-3</v>
      </c>
      <c r="I8">
        <f t="shared" si="4"/>
        <v>175</v>
      </c>
      <c r="J8">
        <v>75</v>
      </c>
      <c r="K8">
        <v>28.295660000000002</v>
      </c>
      <c r="L8">
        <f t="shared" si="3"/>
        <v>4.7830799999999272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355F-249A-4746-98A6-CF0E0945453C}">
  <dimension ref="A1:L16"/>
  <sheetViews>
    <sheetView tabSelected="1" topLeftCell="G1" workbookViewId="0">
      <selection activeCell="L4" sqref="L4"/>
    </sheetView>
  </sheetViews>
  <sheetFormatPr defaultRowHeight="14.5" x14ac:dyDescent="0.35"/>
  <cols>
    <col min="1" max="1" width="12.36328125" customWidth="1"/>
    <col min="2" max="2" width="10.26953125" customWidth="1"/>
    <col min="4" max="5" width="12.90625" customWidth="1"/>
    <col min="6" max="6" width="18.26953125" customWidth="1"/>
    <col min="7" max="7" width="15.1796875" customWidth="1"/>
    <col min="11" max="11" width="12.1796875" customWidth="1"/>
    <col min="12" max="12" width="19.453125" customWidth="1"/>
  </cols>
  <sheetData>
    <row r="1" spans="1:12" x14ac:dyDescent="0.35">
      <c r="A1" t="s">
        <v>56</v>
      </c>
      <c r="B1" t="s">
        <v>54</v>
      </c>
      <c r="C1" t="s">
        <v>55</v>
      </c>
      <c r="D1" t="s">
        <v>60</v>
      </c>
      <c r="E1" t="s">
        <v>57</v>
      </c>
      <c r="F1" t="s">
        <v>71</v>
      </c>
      <c r="G1" t="s">
        <v>63</v>
      </c>
      <c r="H1" t="s">
        <v>42</v>
      </c>
      <c r="I1" t="s">
        <v>64</v>
      </c>
      <c r="J1" t="s">
        <v>65</v>
      </c>
      <c r="K1" t="s">
        <v>53</v>
      </c>
      <c r="L1" t="s">
        <v>70</v>
      </c>
    </row>
    <row r="2" spans="1:12" x14ac:dyDescent="0.35">
      <c r="A2">
        <v>166</v>
      </c>
      <c r="B2">
        <v>78</v>
      </c>
      <c r="C2" t="s">
        <v>69</v>
      </c>
      <c r="D2">
        <v>7733</v>
      </c>
      <c r="E2">
        <f>D2*H2*A2</f>
        <v>1283.6780000000001</v>
      </c>
      <c r="F2">
        <v>7794</v>
      </c>
      <c r="G2">
        <f>F2*H2*L2</f>
        <v>1262.6280000000002</v>
      </c>
      <c r="H2">
        <v>1E-3</v>
      </c>
      <c r="I2">
        <v>76</v>
      </c>
      <c r="J2">
        <v>28.295660000000002</v>
      </c>
      <c r="K2">
        <f>(J2+G2)-E2</f>
        <v>7.2456600000000435</v>
      </c>
      <c r="L2">
        <v>162</v>
      </c>
    </row>
    <row r="3" spans="1:12" x14ac:dyDescent="0.35">
      <c r="A3">
        <v>168</v>
      </c>
      <c r="B3">
        <v>78</v>
      </c>
      <c r="C3" t="s">
        <v>69</v>
      </c>
      <c r="D3">
        <v>7773.6</v>
      </c>
      <c r="E3">
        <f t="shared" ref="E3:E14" si="0">D3*H3*A3</f>
        <v>1305.9648000000002</v>
      </c>
      <c r="F3">
        <v>7833.3</v>
      </c>
      <c r="G3">
        <f t="shared" ref="G3:G14" si="1">F3*H3*L3</f>
        <v>1284.6612</v>
      </c>
      <c r="H3">
        <v>1E-3</v>
      </c>
      <c r="I3">
        <v>76</v>
      </c>
      <c r="J3">
        <v>28.295660000000002</v>
      </c>
      <c r="K3">
        <f t="shared" ref="K3:K14" si="2">(J3+G3)-E3</f>
        <v>6.9920599999998103</v>
      </c>
      <c r="L3">
        <v>164</v>
      </c>
    </row>
    <row r="4" spans="1:12" x14ac:dyDescent="0.35">
      <c r="A4">
        <v>170</v>
      </c>
      <c r="B4">
        <v>78</v>
      </c>
      <c r="C4" t="s">
        <v>69</v>
      </c>
      <c r="D4">
        <v>7808.24</v>
      </c>
      <c r="E4">
        <f t="shared" si="0"/>
        <v>1327.4007999999999</v>
      </c>
      <c r="F4">
        <v>7866.34</v>
      </c>
      <c r="G4">
        <f t="shared" si="1"/>
        <v>1305.8124399999999</v>
      </c>
      <c r="H4">
        <v>1E-3</v>
      </c>
      <c r="I4">
        <v>76</v>
      </c>
      <c r="J4">
        <v>28.295660000000002</v>
      </c>
      <c r="K4">
        <f t="shared" si="2"/>
        <v>6.707300000000032</v>
      </c>
      <c r="L4">
        <v>166</v>
      </c>
    </row>
    <row r="5" spans="1:12" x14ac:dyDescent="0.35">
      <c r="A5">
        <v>172</v>
      </c>
      <c r="B5">
        <v>78</v>
      </c>
      <c r="C5" t="s">
        <v>69</v>
      </c>
      <c r="D5">
        <v>7839.25</v>
      </c>
      <c r="E5">
        <f t="shared" si="0"/>
        <v>1348.3509999999999</v>
      </c>
      <c r="F5">
        <v>7895.94</v>
      </c>
      <c r="G5">
        <f t="shared" si="1"/>
        <v>1326.51792</v>
      </c>
      <c r="H5">
        <v>1E-3</v>
      </c>
      <c r="I5">
        <v>76</v>
      </c>
      <c r="J5">
        <v>28.295660000000002</v>
      </c>
      <c r="K5">
        <f t="shared" si="2"/>
        <v>6.4625800000001163</v>
      </c>
      <c r="L5">
        <v>168</v>
      </c>
    </row>
    <row r="6" spans="1:12" x14ac:dyDescent="0.35">
      <c r="A6">
        <v>174</v>
      </c>
      <c r="B6">
        <v>78</v>
      </c>
      <c r="C6" t="s">
        <v>69</v>
      </c>
      <c r="D6">
        <v>7866.11</v>
      </c>
      <c r="E6">
        <f t="shared" si="0"/>
        <v>1368.7031400000001</v>
      </c>
      <c r="F6">
        <v>7921.13</v>
      </c>
      <c r="G6">
        <f t="shared" si="1"/>
        <v>1346.5921000000001</v>
      </c>
      <c r="H6">
        <v>1E-3</v>
      </c>
      <c r="I6">
        <v>76</v>
      </c>
      <c r="J6">
        <v>28.295660000000002</v>
      </c>
      <c r="K6">
        <f t="shared" si="2"/>
        <v>6.1846199999999953</v>
      </c>
      <c r="L6">
        <v>170</v>
      </c>
    </row>
    <row r="7" spans="1:12" x14ac:dyDescent="0.35">
      <c r="A7">
        <v>176</v>
      </c>
      <c r="B7">
        <v>78</v>
      </c>
      <c r="C7" t="s">
        <v>69</v>
      </c>
      <c r="D7">
        <v>7888.99</v>
      </c>
      <c r="E7">
        <f t="shared" si="0"/>
        <v>1388.4622399999998</v>
      </c>
      <c r="F7">
        <v>7942.16</v>
      </c>
      <c r="G7">
        <f t="shared" si="1"/>
        <v>1366.05152</v>
      </c>
      <c r="H7">
        <v>1E-3</v>
      </c>
      <c r="I7">
        <v>76</v>
      </c>
      <c r="J7">
        <v>28.295660000000002</v>
      </c>
      <c r="K7">
        <f t="shared" si="2"/>
        <v>5.8849400000001424</v>
      </c>
      <c r="L7">
        <v>172</v>
      </c>
    </row>
    <row r="8" spans="1:12" x14ac:dyDescent="0.35">
      <c r="A8">
        <v>178</v>
      </c>
      <c r="B8">
        <v>78</v>
      </c>
      <c r="C8" t="s">
        <v>69</v>
      </c>
      <c r="D8">
        <v>7908.25</v>
      </c>
      <c r="E8">
        <f t="shared" si="0"/>
        <v>1407.6685</v>
      </c>
      <c r="F8">
        <v>7959.46</v>
      </c>
      <c r="G8">
        <f t="shared" si="1"/>
        <v>1384.94604</v>
      </c>
      <c r="H8">
        <v>1E-3</v>
      </c>
      <c r="I8">
        <v>76</v>
      </c>
      <c r="J8">
        <v>28.295660000000002</v>
      </c>
      <c r="K8">
        <f t="shared" si="2"/>
        <v>5.5732000000000426</v>
      </c>
      <c r="L8">
        <v>174</v>
      </c>
    </row>
    <row r="9" spans="1:12" x14ac:dyDescent="0.35">
      <c r="A9">
        <v>180</v>
      </c>
      <c r="B9">
        <v>78</v>
      </c>
      <c r="C9" t="s">
        <v>69</v>
      </c>
      <c r="D9">
        <v>7923.58</v>
      </c>
      <c r="E9">
        <f t="shared" si="0"/>
        <v>1426.2444</v>
      </c>
      <c r="F9">
        <v>7972.87</v>
      </c>
      <c r="G9">
        <f t="shared" si="1"/>
        <v>1403.2251200000001</v>
      </c>
      <c r="H9">
        <v>1E-3</v>
      </c>
      <c r="I9">
        <v>76</v>
      </c>
      <c r="J9">
        <v>28.295660000000002</v>
      </c>
      <c r="K9">
        <f t="shared" si="2"/>
        <v>5.2763800000000174</v>
      </c>
      <c r="L9">
        <v>176</v>
      </c>
    </row>
    <row r="10" spans="1:12" x14ac:dyDescent="0.35">
      <c r="A10">
        <v>182</v>
      </c>
      <c r="B10">
        <v>78</v>
      </c>
      <c r="C10" t="s">
        <v>69</v>
      </c>
      <c r="D10">
        <v>7934.75</v>
      </c>
      <c r="E10">
        <f t="shared" si="0"/>
        <v>1444.1245000000001</v>
      </c>
      <c r="F10">
        <v>7981.91</v>
      </c>
      <c r="G10">
        <f t="shared" si="1"/>
        <v>1420.77998</v>
      </c>
      <c r="H10">
        <v>1E-3</v>
      </c>
      <c r="I10">
        <v>76</v>
      </c>
      <c r="J10">
        <v>28.295660000000002</v>
      </c>
      <c r="K10">
        <f t="shared" si="2"/>
        <v>4.9511399999998957</v>
      </c>
      <c r="L10">
        <v>178</v>
      </c>
    </row>
    <row r="11" spans="1:12" x14ac:dyDescent="0.35">
      <c r="A11">
        <v>184</v>
      </c>
      <c r="B11">
        <v>78</v>
      </c>
      <c r="C11" t="s">
        <v>69</v>
      </c>
      <c r="D11">
        <v>7942.56</v>
      </c>
      <c r="E11">
        <f t="shared" si="0"/>
        <v>1461.4310399999999</v>
      </c>
      <c r="F11">
        <v>7987.42</v>
      </c>
      <c r="G11">
        <f t="shared" si="1"/>
        <v>1437.7356</v>
      </c>
      <c r="H11">
        <v>1E-3</v>
      </c>
      <c r="I11">
        <v>76</v>
      </c>
      <c r="J11">
        <v>28.295660000000002</v>
      </c>
      <c r="K11">
        <f t="shared" si="2"/>
        <v>4.6002200000000357</v>
      </c>
      <c r="L11">
        <v>180</v>
      </c>
    </row>
    <row r="12" spans="1:12" x14ac:dyDescent="0.35">
      <c r="A12">
        <v>186</v>
      </c>
      <c r="B12">
        <v>78</v>
      </c>
      <c r="C12" t="s">
        <v>69</v>
      </c>
      <c r="D12">
        <v>7946.81</v>
      </c>
      <c r="E12">
        <f t="shared" si="0"/>
        <v>1478.1066599999999</v>
      </c>
      <c r="F12">
        <v>7989.73</v>
      </c>
      <c r="G12">
        <f t="shared" si="1"/>
        <v>1454.13086</v>
      </c>
      <c r="H12">
        <v>1E-3</v>
      </c>
      <c r="I12">
        <v>76</v>
      </c>
      <c r="J12">
        <v>28.295660000000002</v>
      </c>
      <c r="K12">
        <f t="shared" si="2"/>
        <v>4.3198600000000624</v>
      </c>
      <c r="L12">
        <v>182</v>
      </c>
    </row>
    <row r="13" spans="1:12" x14ac:dyDescent="0.35">
      <c r="A13">
        <v>188</v>
      </c>
      <c r="B13">
        <v>78</v>
      </c>
      <c r="C13" t="s">
        <v>69</v>
      </c>
      <c r="D13">
        <v>7947.9030000000002</v>
      </c>
      <c r="E13">
        <f t="shared" si="0"/>
        <v>1494.205764</v>
      </c>
      <c r="F13">
        <v>7988.6779999999999</v>
      </c>
      <c r="G13">
        <f t="shared" si="1"/>
        <v>1469.9167520000001</v>
      </c>
      <c r="H13">
        <v>1E-3</v>
      </c>
      <c r="I13">
        <v>76</v>
      </c>
      <c r="J13">
        <v>28.295660000000002</v>
      </c>
      <c r="K13">
        <f t="shared" si="2"/>
        <v>4.0066480000000411</v>
      </c>
      <c r="L13">
        <v>184</v>
      </c>
    </row>
    <row r="14" spans="1:12" x14ac:dyDescent="0.35">
      <c r="A14">
        <v>190</v>
      </c>
      <c r="B14">
        <v>78</v>
      </c>
      <c r="C14" t="s">
        <v>69</v>
      </c>
      <c r="D14">
        <v>7946.4939999999997</v>
      </c>
      <c r="E14">
        <f t="shared" si="0"/>
        <v>1509.83386</v>
      </c>
      <c r="F14">
        <v>7982.8320000000003</v>
      </c>
      <c r="G14">
        <f t="shared" si="1"/>
        <v>1484.806752</v>
      </c>
      <c r="H14">
        <v>1E-3</v>
      </c>
      <c r="I14">
        <v>76</v>
      </c>
      <c r="J14">
        <v>28.295660000000002</v>
      </c>
      <c r="K14">
        <f t="shared" si="2"/>
        <v>3.2685519999999997</v>
      </c>
      <c r="L14">
        <v>186</v>
      </c>
    </row>
    <row r="16" spans="1:12" x14ac:dyDescent="0.35">
      <c r="J16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BCF8-3ACE-45A8-B0D2-55C08A225822}">
  <dimension ref="A1"/>
  <sheetViews>
    <sheetView workbookViewId="0">
      <selection sqref="A1:L5"/>
    </sheetView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2C8B-5BE2-4665-8DC0-EC2FC98590C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CA22-325C-4E19-BD44-36453D1897CC}">
  <dimension ref="B2"/>
  <sheetViews>
    <sheetView workbookViewId="0">
      <selection activeCell="B2" sqref="B2:B18"/>
    </sheetView>
  </sheetViews>
  <sheetFormatPr defaultRowHeight="14.5" x14ac:dyDescent="0.35"/>
  <sheetData>
    <row r="2" spans="2:2" x14ac:dyDescent="0.3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He </vt:lpstr>
      <vt:lpstr>o</vt:lpstr>
      <vt:lpstr> ca</vt:lpstr>
      <vt:lpstr> ni </vt:lpstr>
      <vt:lpstr> sn</vt:lpstr>
      <vt:lpstr> pb</vt:lpstr>
      <vt:lpstr>Q (Os)</vt:lpstr>
      <vt:lpstr>Q(Ir)</vt:lpstr>
      <vt:lpstr> Q(Pt)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2025-11-11T18:33:06Z</cp:lastPrinted>
  <dcterms:created xsi:type="dcterms:W3CDTF">2025-10-29T18:00:27Z</dcterms:created>
  <dcterms:modified xsi:type="dcterms:W3CDTF">2026-07-30T09:55:06Z</dcterms:modified>
</cp:coreProperties>
</file>